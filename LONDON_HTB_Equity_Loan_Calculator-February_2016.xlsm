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60" yWindow="-30" windowWidth="23295" windowHeight="11835" tabRatio="334" activeTab="1"/>
  </bookViews>
  <sheets>
    <sheet name="London" sheetId="1" r:id="rId1"/>
    <sheet name="Help to Buy Gov Equity Solver" sheetId="2" r:id="rId2"/>
    <sheet name="Shared Ownership" sheetId="3" r:id="rId3"/>
  </sheets>
  <externalReferences>
    <externalReference r:id="rId4"/>
  </externalReferences>
  <definedNames>
    <definedName name="etr_50">'Help to Buy Gov Equity Solver'!$E$3</definedName>
    <definedName name="ETRTable">'Help to Buy Gov Equity Solver'!$X$8:$Y$16</definedName>
    <definedName name="Headers">#REF!</definedName>
    <definedName name="if">#REF!</definedName>
    <definedName name="IFA_addresses">#REF!</definedName>
    <definedName name="IFAs">#REF!</definedName>
    <definedName name="MortRate">London!$N$29</definedName>
    <definedName name="MortTerm">London!$N$28</definedName>
    <definedName name="MRate">'Help to Buy Gov Equity Solver'!$K$3</definedName>
    <definedName name="MTerm">'Help to Buy Gov Equity Solver'!$L$3</definedName>
    <definedName name="_xlnm.Print_Area" localSheetId="1">'Help to Buy Gov Equity Solver'!$A$1:$AH$66</definedName>
    <definedName name="_xlnm.Print_Area" localSheetId="0">London!$A$1:$P$41</definedName>
    <definedName name="te">#REF!</definedName>
    <definedName name="ValidIFAs">[1]Sheet1!$A$3:$A$6</definedName>
    <definedName name="ValidSwayofficer">[1]Sheet1!$B$3:$B$6</definedName>
    <definedName name="yu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T2" i="2" l="1"/>
  <c r="S2" i="2"/>
  <c r="P64" i="2"/>
  <c r="L64" i="2" s="1"/>
  <c r="H64" i="2"/>
  <c r="P62" i="2"/>
  <c r="L62" i="2" s="1"/>
  <c r="H62" i="2"/>
  <c r="P60" i="2"/>
  <c r="L60" i="2" s="1"/>
  <c r="H60" i="2"/>
  <c r="P58" i="2"/>
  <c r="L58" i="2" s="1"/>
  <c r="M58" i="2"/>
  <c r="H58" i="2"/>
  <c r="P56" i="2"/>
  <c r="L56" i="2" s="1"/>
  <c r="H56" i="2"/>
  <c r="P54" i="2"/>
  <c r="L54" i="2" s="1"/>
  <c r="H54" i="2"/>
  <c r="P52" i="2"/>
  <c r="L52" i="2" s="1"/>
  <c r="H52" i="2"/>
  <c r="P50" i="2"/>
  <c r="L50" i="2" s="1"/>
  <c r="H50" i="2"/>
  <c r="P48" i="2"/>
  <c r="L48" i="2" s="1"/>
  <c r="H48" i="2"/>
  <c r="P46" i="2"/>
  <c r="L46" i="2" s="1"/>
  <c r="H46" i="2"/>
  <c r="P44" i="2"/>
  <c r="L44" i="2" s="1"/>
  <c r="K44" i="2" s="1"/>
  <c r="H44" i="2"/>
  <c r="Y44" i="2"/>
  <c r="P40" i="2"/>
  <c r="L40" i="2" s="1"/>
  <c r="H40" i="2"/>
  <c r="P38" i="2"/>
  <c r="L38" i="2" s="1"/>
  <c r="H38" i="2"/>
  <c r="P36" i="2"/>
  <c r="L36" i="2" s="1"/>
  <c r="H36" i="2"/>
  <c r="P34" i="2"/>
  <c r="L34" i="2" s="1"/>
  <c r="H34" i="2"/>
  <c r="P32" i="2"/>
  <c r="L32" i="2" s="1"/>
  <c r="H32" i="2"/>
  <c r="P20" i="2"/>
  <c r="L20" i="2" s="1"/>
  <c r="H20" i="2"/>
  <c r="P22" i="2"/>
  <c r="L22" i="2" s="1"/>
  <c r="H22" i="2"/>
  <c r="P24" i="2"/>
  <c r="M24" i="2" s="1"/>
  <c r="H24" i="2"/>
  <c r="P26" i="2"/>
  <c r="M26" i="2" s="1"/>
  <c r="H26" i="2"/>
  <c r="P28" i="2"/>
  <c r="M28" i="2" s="1"/>
  <c r="H28" i="2"/>
  <c r="P30" i="2"/>
  <c r="M30" i="2" s="1"/>
  <c r="H30" i="2"/>
  <c r="P17" i="2"/>
  <c r="M17" i="2" s="1"/>
  <c r="H17" i="2"/>
  <c r="Y14" i="2"/>
  <c r="Y15" i="2"/>
  <c r="Y16" i="2"/>
  <c r="Y9" i="2"/>
  <c r="Y10" i="2"/>
  <c r="Y11" i="2"/>
  <c r="Y12" i="2"/>
  <c r="Y13" i="2"/>
  <c r="Y8" i="2"/>
  <c r="P15" i="2"/>
  <c r="L15" i="2" s="1"/>
  <c r="K15" i="2" s="1"/>
  <c r="H15" i="2"/>
  <c r="P13" i="2"/>
  <c r="M13" i="2" s="1"/>
  <c r="H13" i="2"/>
  <c r="J7" i="2"/>
  <c r="P11" i="2"/>
  <c r="L11" i="2" s="1"/>
  <c r="K11" i="2" s="1"/>
  <c r="H11" i="2"/>
  <c r="H5" i="2"/>
  <c r="H7" i="2"/>
  <c r="H9" i="2"/>
  <c r="P9" i="2"/>
  <c r="M9" i="2" s="1"/>
  <c r="P7" i="2"/>
  <c r="L7" i="2" s="1"/>
  <c r="P5" i="2"/>
  <c r="M5" i="2" s="1"/>
  <c r="K12" i="1"/>
  <c r="L12" i="1" s="1"/>
  <c r="G49" i="1"/>
  <c r="H49" i="1"/>
  <c r="I49" i="1"/>
  <c r="J49" i="1" s="1"/>
  <c r="K49" i="1" s="1"/>
  <c r="L49" i="1" s="1"/>
  <c r="M49" i="1" s="1"/>
  <c r="N49" i="1" s="1"/>
  <c r="O49" i="1" s="1"/>
  <c r="P49" i="1" s="1"/>
  <c r="Q49" i="1" s="1"/>
  <c r="R49" i="1" s="1"/>
  <c r="S49" i="1" s="1"/>
  <c r="T49" i="1" s="1"/>
  <c r="U49" i="1" s="1"/>
  <c r="V49" i="1" s="1"/>
  <c r="W49" i="1" s="1"/>
  <c r="X49" i="1" s="1"/>
  <c r="Y49" i="1" s="1"/>
  <c r="Z49" i="1" s="1"/>
  <c r="AA49" i="1" s="1"/>
  <c r="AB49" i="1" s="1"/>
  <c r="AC49" i="1" s="1"/>
  <c r="AD49" i="1" s="1"/>
  <c r="AE49" i="1" s="1"/>
  <c r="AF49" i="1" s="1"/>
  <c r="AG49" i="1" s="1"/>
  <c r="AH49" i="1" s="1"/>
  <c r="AI49" i="1" s="1"/>
  <c r="AJ49" i="1" s="1"/>
  <c r="N22" i="1"/>
  <c r="I23" i="1"/>
  <c r="I25" i="1" s="1"/>
  <c r="F45" i="1"/>
  <c r="I24" i="1" s="1"/>
  <c r="O39" i="1" s="1"/>
  <c r="L7" i="1"/>
  <c r="O37" i="1"/>
  <c r="L30" i="1"/>
  <c r="L37" i="1"/>
  <c r="K37" i="1"/>
  <c r="I30" i="1"/>
  <c r="D38" i="1"/>
  <c r="E38" i="1" s="1"/>
  <c r="G38" i="1"/>
  <c r="H38" i="1" s="1"/>
  <c r="I33" i="1"/>
  <c r="N38" i="1" s="1"/>
  <c r="G48" i="1"/>
  <c r="L6" i="1"/>
  <c r="F46" i="1" s="1"/>
  <c r="H46" i="1" s="1"/>
  <c r="L28" i="1" s="1"/>
  <c r="F38" i="1"/>
  <c r="M64" i="2" l="1"/>
  <c r="M62" i="2"/>
  <c r="M60" i="2"/>
  <c r="M56" i="2"/>
  <c r="M54" i="2"/>
  <c r="M52" i="2"/>
  <c r="M50" i="2"/>
  <c r="M48" i="2"/>
  <c r="M46" i="2"/>
  <c r="M44" i="2"/>
  <c r="K46" i="2"/>
  <c r="J46" i="2"/>
  <c r="G46" i="2" s="1"/>
  <c r="E46" i="2" s="1"/>
  <c r="F46" i="2" s="1"/>
  <c r="T46" i="2" s="1"/>
  <c r="K48" i="2"/>
  <c r="J48" i="2"/>
  <c r="G48" i="2" s="1"/>
  <c r="E48" i="2" s="1"/>
  <c r="F48" i="2" s="1"/>
  <c r="T48" i="2" s="1"/>
  <c r="K50" i="2"/>
  <c r="J50" i="2"/>
  <c r="G50" i="2" s="1"/>
  <c r="E50" i="2" s="1"/>
  <c r="F50" i="2" s="1"/>
  <c r="T50" i="2" s="1"/>
  <c r="C50" i="2" s="1"/>
  <c r="K52" i="2"/>
  <c r="J52" i="2"/>
  <c r="G52" i="2" s="1"/>
  <c r="E52" i="2" s="1"/>
  <c r="F52" i="2" s="1"/>
  <c r="T52" i="2" s="1"/>
  <c r="C52" i="2" s="1"/>
  <c r="K54" i="2"/>
  <c r="J54" i="2"/>
  <c r="G54" i="2" s="1"/>
  <c r="E54" i="2" s="1"/>
  <c r="F54" i="2" s="1"/>
  <c r="T54" i="2" s="1"/>
  <c r="K56" i="2"/>
  <c r="J56" i="2"/>
  <c r="G56" i="2" s="1"/>
  <c r="E56" i="2" s="1"/>
  <c r="F56" i="2" s="1"/>
  <c r="T56" i="2" s="1"/>
  <c r="K58" i="2"/>
  <c r="J58" i="2"/>
  <c r="G58" i="2" s="1"/>
  <c r="E58" i="2" s="1"/>
  <c r="F58" i="2" s="1"/>
  <c r="T58" i="2" s="1"/>
  <c r="C58" i="2" s="1"/>
  <c r="K60" i="2"/>
  <c r="J60" i="2"/>
  <c r="G60" i="2" s="1"/>
  <c r="E60" i="2" s="1"/>
  <c r="F60" i="2" s="1"/>
  <c r="T60" i="2" s="1"/>
  <c r="C60" i="2" s="1"/>
  <c r="K62" i="2"/>
  <c r="J62" i="2"/>
  <c r="G62" i="2" s="1"/>
  <c r="E62" i="2" s="1"/>
  <c r="F62" i="2" s="1"/>
  <c r="T62" i="2" s="1"/>
  <c r="K64" i="2"/>
  <c r="J64" i="2"/>
  <c r="G64" i="2" s="1"/>
  <c r="E64" i="2" s="1"/>
  <c r="F64" i="2" s="1"/>
  <c r="T64" i="2" s="1"/>
  <c r="J44" i="2"/>
  <c r="G44" i="2" s="1"/>
  <c r="E44" i="2" s="1"/>
  <c r="F44" i="2" s="1"/>
  <c r="T44" i="2" s="1"/>
  <c r="M38" i="2"/>
  <c r="M36" i="2"/>
  <c r="M34" i="2"/>
  <c r="M32" i="2"/>
  <c r="J38" i="2"/>
  <c r="G38" i="2" s="1"/>
  <c r="E38" i="2" s="1"/>
  <c r="F38" i="2" s="1"/>
  <c r="T38" i="2" s="1"/>
  <c r="C38" i="2" s="1"/>
  <c r="K38" i="2"/>
  <c r="J36" i="2"/>
  <c r="G36" i="2" s="1"/>
  <c r="E36" i="2" s="1"/>
  <c r="F36" i="2" s="1"/>
  <c r="T36" i="2" s="1"/>
  <c r="C36" i="2" s="1"/>
  <c r="K36" i="2"/>
  <c r="J34" i="2"/>
  <c r="G34" i="2" s="1"/>
  <c r="E34" i="2" s="1"/>
  <c r="F34" i="2" s="1"/>
  <c r="T34" i="2" s="1"/>
  <c r="K34" i="2"/>
  <c r="J40" i="2"/>
  <c r="G40" i="2" s="1"/>
  <c r="E40" i="2" s="1"/>
  <c r="F40" i="2" s="1"/>
  <c r="T40" i="2" s="1"/>
  <c r="C40" i="2" s="1"/>
  <c r="K40" i="2"/>
  <c r="J32" i="2"/>
  <c r="G32" i="2" s="1"/>
  <c r="E32" i="2" s="1"/>
  <c r="F32" i="2" s="1"/>
  <c r="T32" i="2" s="1"/>
  <c r="K32" i="2"/>
  <c r="M40" i="2"/>
  <c r="L30" i="2"/>
  <c r="L28" i="2"/>
  <c r="L26" i="2"/>
  <c r="K26" i="2" s="1"/>
  <c r="L24" i="2"/>
  <c r="J22" i="2"/>
  <c r="G22" i="2" s="1"/>
  <c r="E22" i="2" s="1"/>
  <c r="F22" i="2" s="1"/>
  <c r="T22" i="2" s="1"/>
  <c r="C22" i="2" s="1"/>
  <c r="K22" i="2"/>
  <c r="J20" i="2"/>
  <c r="G20" i="2" s="1"/>
  <c r="E20" i="2" s="1"/>
  <c r="F20" i="2" s="1"/>
  <c r="T20" i="2" s="1"/>
  <c r="C20" i="2" s="1"/>
  <c r="K20" i="2"/>
  <c r="M22" i="2"/>
  <c r="M20" i="2"/>
  <c r="L17" i="2"/>
  <c r="K17" i="2" s="1"/>
  <c r="I26" i="1"/>
  <c r="M15" i="2"/>
  <c r="J15" i="2"/>
  <c r="G15" i="2" s="1"/>
  <c r="E15" i="2" s="1"/>
  <c r="F15" i="2" s="1"/>
  <c r="L13" i="2"/>
  <c r="K13" i="2" s="1"/>
  <c r="M11" i="2"/>
  <c r="J11" i="2"/>
  <c r="G11" i="2" s="1"/>
  <c r="M7" i="2"/>
  <c r="L5" i="2"/>
  <c r="L9" i="2"/>
  <c r="K7" i="2"/>
  <c r="G7" i="2"/>
  <c r="E7" i="2" s="1"/>
  <c r="F7" i="2" s="1"/>
  <c r="G43" i="1"/>
  <c r="D40" i="1"/>
  <c r="D43" i="1" s="1"/>
  <c r="I38" i="1"/>
  <c r="M38" i="1" s="1"/>
  <c r="C62" i="2" l="1"/>
  <c r="N62" i="2"/>
  <c r="C46" i="2"/>
  <c r="N46" i="2"/>
  <c r="C64" i="2"/>
  <c r="N64" i="2"/>
  <c r="C56" i="2"/>
  <c r="N56" i="2"/>
  <c r="C48" i="2"/>
  <c r="N48" i="2"/>
  <c r="C54" i="2"/>
  <c r="N54" i="2"/>
  <c r="C44" i="2"/>
  <c r="N44" i="2"/>
  <c r="N60" i="2"/>
  <c r="N52" i="2"/>
  <c r="N58" i="2"/>
  <c r="N50" i="2"/>
  <c r="C32" i="2"/>
  <c r="N32" i="2"/>
  <c r="C34" i="2"/>
  <c r="N34" i="2"/>
  <c r="N40" i="2"/>
  <c r="N36" i="2"/>
  <c r="N38" i="2"/>
  <c r="K30" i="2"/>
  <c r="J30" i="2"/>
  <c r="G30" i="2" s="1"/>
  <c r="E30" i="2" s="1"/>
  <c r="F30" i="2" s="1"/>
  <c r="T30" i="2" s="1"/>
  <c r="K28" i="2"/>
  <c r="J28" i="2"/>
  <c r="G28" i="2" s="1"/>
  <c r="E28" i="2" s="1"/>
  <c r="F28" i="2" s="1"/>
  <c r="T28" i="2" s="1"/>
  <c r="C28" i="2" s="1"/>
  <c r="J26" i="2"/>
  <c r="G26" i="2" s="1"/>
  <c r="E26" i="2" s="1"/>
  <c r="F26" i="2" s="1"/>
  <c r="T26" i="2" s="1"/>
  <c r="N26" i="2" s="1"/>
  <c r="K24" i="2"/>
  <c r="J24" i="2"/>
  <c r="G24" i="2" s="1"/>
  <c r="E24" i="2" s="1"/>
  <c r="F24" i="2" s="1"/>
  <c r="T24" i="2" s="1"/>
  <c r="C24" i="2" s="1"/>
  <c r="N20" i="2"/>
  <c r="N22" i="2"/>
  <c r="J17" i="2"/>
  <c r="G17" i="2" s="1"/>
  <c r="E17" i="2" s="1"/>
  <c r="F17" i="2" s="1"/>
  <c r="T17" i="2" s="1"/>
  <c r="C17" i="2" s="1"/>
  <c r="J13" i="2"/>
  <c r="G13" i="2" s="1"/>
  <c r="E13" i="2" s="1"/>
  <c r="F13" i="2" s="1"/>
  <c r="E11" i="2"/>
  <c r="F11" i="2" s="1"/>
  <c r="J5" i="2"/>
  <c r="K5" i="2"/>
  <c r="K9" i="2"/>
  <c r="J9" i="2"/>
  <c r="G9" i="2" s="1"/>
  <c r="E9" i="2" s="1"/>
  <c r="F9" i="2" s="1"/>
  <c r="H43" i="1"/>
  <c r="F43" i="1" s="1"/>
  <c r="E43" i="1" s="1"/>
  <c r="J38" i="1"/>
  <c r="K38" i="1"/>
  <c r="O38" i="1"/>
  <c r="L38" i="1"/>
  <c r="C30" i="2" l="1"/>
  <c r="N30" i="2"/>
  <c r="N28" i="2"/>
  <c r="C26" i="2"/>
  <c r="N24" i="2"/>
  <c r="N17" i="2"/>
  <c r="G5" i="2"/>
  <c r="E5" i="2" l="1"/>
  <c r="F5" i="2" s="1"/>
  <c r="T13" i="2" l="1"/>
  <c r="C13" i="2" s="1"/>
  <c r="T9" i="2"/>
  <c r="C9" i="2" s="1"/>
  <c r="T15" i="2"/>
  <c r="N15" i="2" s="1"/>
  <c r="T11" i="2"/>
  <c r="C11" i="2" s="1"/>
  <c r="T7" i="2"/>
  <c r="N7" i="2" s="1"/>
  <c r="T5" i="2"/>
  <c r="C5" i="2" s="1"/>
  <c r="C7" i="2" l="1"/>
  <c r="C15" i="2"/>
  <c r="N9" i="2"/>
  <c r="N5" i="2"/>
  <c r="N11" i="2"/>
  <c r="N13" i="2"/>
</calcChain>
</file>

<file path=xl/sharedStrings.xml><?xml version="1.0" encoding="utf-8"?>
<sst xmlns="http://schemas.openxmlformats.org/spreadsheetml/2006/main" count="120" uniqueCount="103">
  <si>
    <t>Forename</t>
  </si>
  <si>
    <t>Surname</t>
  </si>
  <si>
    <t>Age Next</t>
  </si>
  <si>
    <t>Mortgage interest rate:</t>
  </si>
  <si>
    <t>Overtime, Bonuses &amp; Commissions:</t>
  </si>
  <si>
    <t>Working tax credits</t>
  </si>
  <si>
    <t>Child tax credits</t>
  </si>
  <si>
    <t>Child benefit</t>
  </si>
  <si>
    <t>Disability allowance</t>
  </si>
  <si>
    <t>Guaranteed maintenance income</t>
  </si>
  <si>
    <t>Other income</t>
  </si>
  <si>
    <t>DoB</t>
  </si>
  <si>
    <t>higher age</t>
  </si>
  <si>
    <t>Sufficient deposit for lender?</t>
  </si>
  <si>
    <t>Mortgage (pcm)</t>
  </si>
  <si>
    <t>APPLICANT</t>
  </si>
  <si>
    <t>DEBT</t>
  </si>
  <si>
    <t>MORTGAGE AND DEPOSIT</t>
  </si>
  <si>
    <t>Additional household Income (monthly):</t>
  </si>
  <si>
    <t>Address:</t>
  </si>
  <si>
    <t>Home:</t>
  </si>
  <si>
    <t>Mobile:</t>
  </si>
  <si>
    <t>App 1 basic employment income(annual, gross):</t>
  </si>
  <si>
    <t>App 2 basic employment income(annual, gross):</t>
  </si>
  <si>
    <t>Number of children</t>
  </si>
  <si>
    <t>Proposed purchase property:</t>
  </si>
  <si>
    <t>Full market value</t>
  </si>
  <si>
    <t>Number of bedrooms</t>
  </si>
  <si>
    <t>PROPERTY</t>
  </si>
  <si>
    <t>Equity loan £</t>
  </si>
  <si>
    <t>Monthly loan/HP payments:</t>
  </si>
  <si>
    <t>Outstanding credit card balances:</t>
  </si>
  <si>
    <t>Net monthly employment income (for affordability):</t>
  </si>
  <si>
    <t>Total monthly debt outgoings</t>
  </si>
  <si>
    <t>Equity Rent + Service Charge</t>
  </si>
  <si>
    <t>Monthly equity payment</t>
  </si>
  <si>
    <t>Monthly service charge</t>
  </si>
  <si>
    <t>Additional allowable monthly income</t>
  </si>
  <si>
    <t>Max income ratio</t>
  </si>
  <si>
    <t>Max debt to income ratio</t>
  </si>
  <si>
    <t>Annual equity payment rate %</t>
  </si>
  <si>
    <t>Total gross annual income (from all sources - for IMS)</t>
  </si>
  <si>
    <t>Actual applicant cash contribution</t>
  </si>
  <si>
    <t>Gross annual household income (from employment):</t>
  </si>
  <si>
    <t>Customer cash contribution</t>
  </si>
  <si>
    <t>Equity %</t>
  </si>
  <si>
    <t>Mortgage requirement (Min 25%)</t>
  </si>
  <si>
    <t>Upper tax band</t>
  </si>
  <si>
    <t>upper tax</t>
  </si>
  <si>
    <t>tax free</t>
  </si>
  <si>
    <t>lower tax</t>
  </si>
  <si>
    <t>NI</t>
  </si>
  <si>
    <t>NI free</t>
  </si>
  <si>
    <t>Upper NI rate</t>
  </si>
  <si>
    <t>max mortg</t>
  </si>
  <si>
    <t>GROSS INCOME CALCULATION</t>
  </si>
  <si>
    <t>Other gross salary MONTHLY deductions (childcare vouchers, pension etc.)</t>
  </si>
  <si>
    <t xml:space="preserve">Universal Credit </t>
  </si>
  <si>
    <t xml:space="preserve">Student loan MONTHLY payment </t>
  </si>
  <si>
    <t>LONDON version</t>
  </si>
  <si>
    <t>Mortgage LTV  %</t>
  </si>
  <si>
    <t>Expenses/Income pm</t>
  </si>
  <si>
    <t>leverage</t>
  </si>
  <si>
    <t>Value</t>
  </si>
  <si>
    <t>Mortgage</t>
  </si>
  <si>
    <t>Govt Equity</t>
  </si>
  <si>
    <t>Deposit</t>
  </si>
  <si>
    <t>Govt%</t>
  </si>
  <si>
    <t>Customer's value (mortgage+deposit)</t>
  </si>
  <si>
    <t>Customer's ownership</t>
  </si>
  <si>
    <t>Govt equity loan %</t>
  </si>
  <si>
    <t>Monthly DTI</t>
  </si>
  <si>
    <t>Income</t>
  </si>
  <si>
    <t>LTV</t>
  </si>
  <si>
    <t>Rate</t>
  </si>
  <si>
    <t>Term</t>
  </si>
  <si>
    <t>mort+depo</t>
  </si>
  <si>
    <t>StressedRate</t>
  </si>
  <si>
    <t xml:space="preserve">Monthly </t>
  </si>
  <si>
    <t>Govt Equity Loan</t>
  </si>
  <si>
    <t>Service Charge</t>
  </si>
  <si>
    <t>Salary/Mortgage</t>
  </si>
  <si>
    <t>Govt EquityLoan</t>
  </si>
  <si>
    <t>Monthly Debt Servicing</t>
  </si>
  <si>
    <t>Gross Monthly Income</t>
  </si>
  <si>
    <t>Net Monthly Income</t>
  </si>
  <si>
    <t>ETR</t>
  </si>
  <si>
    <t>Lookup ETR</t>
  </si>
  <si>
    <t>Calc ETR</t>
  </si>
  <si>
    <t>Effective Tax Rate</t>
  </si>
  <si>
    <t>Cust Ownership</t>
  </si>
  <si>
    <t>Property Value</t>
  </si>
  <si>
    <t>y=</t>
  </si>
  <si>
    <t>6.37 x</t>
  </si>
  <si>
    <t>y =</t>
  </si>
  <si>
    <t>6.33 x</t>
  </si>
  <si>
    <t xml:space="preserve"> + 81</t>
  </si>
  <si>
    <t xml:space="preserve"> + 54</t>
  </si>
  <si>
    <t>Salay</t>
  </si>
  <si>
    <t>Monthly income</t>
  </si>
  <si>
    <t>Monthly repayment1552</t>
  </si>
  <si>
    <t>Disposable income</t>
  </si>
  <si>
    <t>Ovr/under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</si>
</sst>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£&quot;#,##0;[Red]\-&quot;£&quot;#,##0"/>
    <numFmt numFmtId="8" formatCode="&quot;£&quot;#,##0.00;[Red]\-&quot;£&quot;#,##0.00"/>
    <numFmt numFmtId="44" formatCode="_-&quot;£&quot;* #,##0.00_-;\-&quot;£&quot;* #,##0.00_-;_-&quot;£&quot;* &quot;-&quot;??_-;_-@_-"/>
    <numFmt numFmtId="43" formatCode="_-* #,##0.00_-;\-* #,##0.00_-;_-* &quot;-&quot;??_-;_-@_-"/>
    <numFmt numFmtId="167" formatCode="&quot;£&quot;#,##0"/>
    <numFmt numFmtId="168" formatCode="&quot;£&quot;#,##0.00"/>
    <numFmt numFmtId="187" formatCode="0.0"/>
    <numFmt numFmtId="194" formatCode="0.0%"/>
    <numFmt numFmtId="199" formatCode="dd/mm/yyyy;@"/>
    <numFmt numFmtId="213" formatCode="#,##0_ ;[Red]\-#,##0\ "/>
    <numFmt numFmtId="217" formatCode="_-* #,##0.0_-;\-* #,##0.0_-;_-* &quot;-&quot;??_-;_-@_-"/>
    <numFmt numFmtId="218" formatCode="_-* #,##0_-;\-* #,##0_-;_-* &quot;-&quot;??_-;_-@_-"/>
  </numFmts>
  <fonts count="26" x14ac:knownFonts="1">
    <font>
      <sz val="10"/>
      <name val="Arial"/>
    </font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b/>
      <sz val="17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2"/>
      <color indexed="9"/>
      <name val="Arial"/>
      <family val="2"/>
    </font>
    <font>
      <b/>
      <sz val="14"/>
      <color indexed="9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12"/>
      <color indexed="8"/>
      <name val="Arial"/>
      <family val="2"/>
    </font>
    <font>
      <b/>
      <sz val="8"/>
      <color indexed="9"/>
      <name val="Arial"/>
      <family val="2"/>
    </font>
    <font>
      <b/>
      <sz val="16"/>
      <color indexed="9"/>
      <name val="Arial"/>
      <family val="2"/>
    </font>
    <font>
      <b/>
      <u/>
      <sz val="16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86">
    <xf numFmtId="0" fontId="0" fillId="0" borderId="0" xfId="0"/>
    <xf numFmtId="0" fontId="5" fillId="0" borderId="0" xfId="0" applyFont="1" applyFill="1" applyProtection="1"/>
    <xf numFmtId="0" fontId="5" fillId="0" borderId="0" xfId="0" applyFont="1" applyFill="1" applyAlignment="1" applyProtection="1">
      <alignment horizontal="right"/>
    </xf>
    <xf numFmtId="0" fontId="5" fillId="0" borderId="0" xfId="0" applyFont="1" applyFill="1" applyBorder="1" applyProtection="1"/>
    <xf numFmtId="0" fontId="6" fillId="0" borderId="0" xfId="0" applyFont="1" applyFill="1" applyProtection="1"/>
    <xf numFmtId="0" fontId="6" fillId="0" borderId="0" xfId="0" applyFont="1" applyFill="1" applyBorder="1" applyProtection="1"/>
    <xf numFmtId="0" fontId="6" fillId="0" borderId="0" xfId="0" applyFont="1" applyFill="1" applyBorder="1" applyAlignment="1" applyProtection="1">
      <alignment horizontal="right"/>
    </xf>
    <xf numFmtId="0" fontId="8" fillId="0" borderId="0" xfId="0" applyFont="1" applyFill="1" applyBorder="1" applyProtection="1"/>
    <xf numFmtId="0" fontId="15" fillId="0" borderId="0" xfId="0" applyFont="1" applyFill="1" applyProtection="1"/>
    <xf numFmtId="0" fontId="6" fillId="0" borderId="1" xfId="0" applyFont="1" applyFill="1" applyBorder="1" applyAlignment="1" applyProtection="1">
      <alignment horizontal="left" vertical="center" wrapText="1" shrinkToFit="1"/>
    </xf>
    <xf numFmtId="199" fontId="6" fillId="2" borderId="1" xfId="0" applyNumberFormat="1" applyFont="1" applyFill="1" applyBorder="1" applyAlignment="1" applyProtection="1">
      <alignment horizontal="left" vertical="center" shrinkToFit="1"/>
      <protection locked="0"/>
    </xf>
    <xf numFmtId="199" fontId="6" fillId="2" borderId="2" xfId="0" applyNumberFormat="1" applyFont="1" applyFill="1" applyBorder="1" applyAlignment="1" applyProtection="1">
      <alignment horizontal="left" vertical="center"/>
      <protection locked="0"/>
    </xf>
    <xf numFmtId="0" fontId="6" fillId="0" borderId="1" xfId="0" applyFont="1" applyFill="1" applyBorder="1" applyAlignment="1" applyProtection="1">
      <alignment horizontal="left" vertical="center"/>
    </xf>
    <xf numFmtId="167" fontId="6" fillId="2" borderId="1" xfId="0" applyNumberFormat="1" applyFont="1" applyFill="1" applyBorder="1" applyAlignment="1" applyProtection="1">
      <alignment horizontal="right" vertical="center"/>
      <protection locked="0"/>
    </xf>
    <xf numFmtId="167" fontId="6" fillId="0" borderId="1" xfId="0" applyNumberFormat="1" applyFont="1" applyFill="1" applyBorder="1" applyAlignment="1" applyProtection="1">
      <alignment horizontal="right" vertical="center"/>
    </xf>
    <xf numFmtId="0" fontId="5" fillId="0" borderId="0" xfId="0" applyFont="1" applyFill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horizontal="center" vertical="center" textRotation="90" wrapText="1"/>
    </xf>
    <xf numFmtId="1" fontId="6" fillId="0" borderId="1" xfId="0" applyNumberFormat="1" applyFont="1" applyFill="1" applyBorder="1" applyAlignment="1" applyProtection="1">
      <alignment horizontal="center" vertical="center"/>
    </xf>
    <xf numFmtId="167" fontId="6" fillId="2" borderId="3" xfId="0" applyNumberFormat="1" applyFont="1" applyFill="1" applyBorder="1" applyAlignment="1" applyProtection="1">
      <alignment horizontal="right" vertical="center" wrapText="1" shrinkToFit="1"/>
      <protection locked="0"/>
    </xf>
    <xf numFmtId="3" fontId="6" fillId="2" borderId="1" xfId="0" applyNumberFormat="1" applyFont="1" applyFill="1" applyBorder="1" applyAlignment="1" applyProtection="1">
      <alignment horizontal="right" vertical="center" wrapText="1" shrinkToFit="1"/>
      <protection locked="0"/>
    </xf>
    <xf numFmtId="0" fontId="6" fillId="0" borderId="4" xfId="0" applyFont="1" applyFill="1" applyBorder="1" applyAlignment="1" applyProtection="1">
      <alignment horizontal="left" vertical="center"/>
    </xf>
    <xf numFmtId="167" fontId="6" fillId="0" borderId="1" xfId="2" applyNumberFormat="1" applyFont="1" applyFill="1" applyBorder="1" applyAlignment="1" applyProtection="1">
      <alignment horizontal="right" vertical="center"/>
    </xf>
    <xf numFmtId="9" fontId="6" fillId="0" borderId="5" xfId="0" applyNumberFormat="1" applyFont="1" applyFill="1" applyBorder="1" applyAlignment="1" applyProtection="1">
      <alignment horizontal="center" vertical="center"/>
    </xf>
    <xf numFmtId="9" fontId="6" fillId="0" borderId="6" xfId="0" applyNumberFormat="1" applyFont="1" applyFill="1" applyBorder="1" applyAlignment="1" applyProtection="1">
      <alignment horizontal="center" vertical="center"/>
    </xf>
    <xf numFmtId="0" fontId="6" fillId="0" borderId="7" xfId="0" applyFont="1" applyFill="1" applyBorder="1" applyAlignment="1" applyProtection="1">
      <alignment horizontal="left" vertical="center"/>
    </xf>
    <xf numFmtId="0" fontId="5" fillId="0" borderId="8" xfId="0" applyFont="1" applyFill="1" applyBorder="1" applyProtection="1"/>
    <xf numFmtId="0" fontId="6" fillId="0" borderId="9" xfId="0" applyFont="1" applyFill="1" applyBorder="1" applyAlignment="1" applyProtection="1">
      <alignment horizontal="left"/>
    </xf>
    <xf numFmtId="0" fontId="6" fillId="0" borderId="10" xfId="0" applyFont="1" applyFill="1" applyBorder="1" applyAlignment="1" applyProtection="1">
      <alignment horizontal="right"/>
    </xf>
    <xf numFmtId="167" fontId="6" fillId="0" borderId="11" xfId="0" applyNumberFormat="1" applyFont="1" applyFill="1" applyBorder="1" applyAlignment="1" applyProtection="1">
      <alignment horizontal="center" vertical="center"/>
    </xf>
    <xf numFmtId="167" fontId="6" fillId="0" borderId="6" xfId="0" applyNumberFormat="1" applyFont="1" applyFill="1" applyBorder="1" applyAlignment="1" applyProtection="1">
      <alignment horizontal="center" vertical="center"/>
    </xf>
    <xf numFmtId="0" fontId="7" fillId="0" borderId="0" xfId="0" applyFont="1" applyFill="1" applyBorder="1" applyProtection="1"/>
    <xf numFmtId="0" fontId="5" fillId="0" borderId="12" xfId="0" applyFont="1" applyFill="1" applyBorder="1" applyProtection="1"/>
    <xf numFmtId="0" fontId="6" fillId="0" borderId="12" xfId="0" applyFont="1" applyFill="1" applyBorder="1" applyProtection="1"/>
    <xf numFmtId="9" fontId="6" fillId="3" borderId="13" xfId="0" applyNumberFormat="1" applyFont="1" applyFill="1" applyBorder="1" applyAlignment="1" applyProtection="1">
      <alignment horizontal="center" vertical="center" wrapText="1"/>
    </xf>
    <xf numFmtId="0" fontId="5" fillId="4" borderId="0" xfId="0" applyFont="1" applyFill="1" applyProtection="1"/>
    <xf numFmtId="0" fontId="5" fillId="4" borderId="0" xfId="0" applyFont="1" applyFill="1" applyBorder="1" applyProtection="1"/>
    <xf numFmtId="0" fontId="4" fillId="4" borderId="0" xfId="0" applyFont="1" applyFill="1" applyAlignment="1" applyProtection="1">
      <alignment vertical="center"/>
    </xf>
    <xf numFmtId="0" fontId="6" fillId="4" borderId="0" xfId="0" applyFont="1" applyFill="1" applyBorder="1" applyAlignment="1" applyProtection="1">
      <alignment vertical="center"/>
    </xf>
    <xf numFmtId="0" fontId="6" fillId="4" borderId="0" xfId="0" applyFont="1" applyFill="1" applyBorder="1" applyProtection="1"/>
    <xf numFmtId="6" fontId="5" fillId="4" borderId="0" xfId="0" applyNumberFormat="1" applyFont="1" applyFill="1" applyBorder="1" applyProtection="1"/>
    <xf numFmtId="0" fontId="8" fillId="4" borderId="0" xfId="0" applyFont="1" applyFill="1" applyBorder="1" applyProtection="1"/>
    <xf numFmtId="0" fontId="18" fillId="4" borderId="0" xfId="0" applyFont="1" applyFill="1" applyBorder="1" applyAlignment="1" applyProtection="1">
      <alignment vertical="center" wrapText="1"/>
    </xf>
    <xf numFmtId="0" fontId="15" fillId="4" borderId="0" xfId="0" applyFont="1" applyFill="1" applyBorder="1" applyProtection="1"/>
    <xf numFmtId="0" fontId="7" fillId="4" borderId="0" xfId="0" applyFont="1" applyFill="1" applyBorder="1" applyProtection="1"/>
    <xf numFmtId="0" fontId="6" fillId="4" borderId="0" xfId="0" applyFont="1" applyFill="1" applyProtection="1"/>
    <xf numFmtId="167" fontId="5" fillId="4" borderId="0" xfId="0" applyNumberFormat="1" applyFont="1" applyFill="1" applyBorder="1" applyProtection="1"/>
    <xf numFmtId="9" fontId="5" fillId="4" borderId="0" xfId="0" applyNumberFormat="1" applyFont="1" applyFill="1" applyBorder="1" applyProtection="1"/>
    <xf numFmtId="0" fontId="13" fillId="4" borderId="0" xfId="0" applyFont="1" applyFill="1" applyBorder="1" applyProtection="1"/>
    <xf numFmtId="9" fontId="13" fillId="4" borderId="0" xfId="0" applyNumberFormat="1" applyFont="1" applyFill="1" applyBorder="1" applyAlignment="1" applyProtection="1">
      <alignment horizontal="center"/>
    </xf>
    <xf numFmtId="6" fontId="5" fillId="0" borderId="0" xfId="0" applyNumberFormat="1" applyFont="1" applyFill="1" applyBorder="1" applyProtection="1"/>
    <xf numFmtId="0" fontId="15" fillId="0" borderId="0" xfId="0" applyFont="1" applyFill="1" applyBorder="1" applyProtection="1"/>
    <xf numFmtId="168" fontId="5" fillId="0" borderId="0" xfId="0" applyNumberFormat="1" applyFont="1" applyFill="1" applyBorder="1" applyProtection="1"/>
    <xf numFmtId="9" fontId="7" fillId="0" borderId="0" xfId="0" applyNumberFormat="1" applyFont="1" applyFill="1" applyBorder="1" applyProtection="1"/>
    <xf numFmtId="8" fontId="7" fillId="0" borderId="0" xfId="0" applyNumberFormat="1" applyFont="1" applyFill="1" applyBorder="1" applyProtection="1"/>
    <xf numFmtId="167" fontId="5" fillId="0" borderId="0" xfId="0" applyNumberFormat="1" applyFont="1" applyFill="1" applyBorder="1" applyProtection="1"/>
    <xf numFmtId="0" fontId="12" fillId="0" borderId="0" xfId="0" applyFont="1" applyFill="1" applyBorder="1" applyProtection="1"/>
    <xf numFmtId="9" fontId="5" fillId="0" borderId="0" xfId="0" applyNumberFormat="1" applyFont="1" applyFill="1" applyBorder="1" applyProtection="1"/>
    <xf numFmtId="0" fontId="13" fillId="0" borderId="0" xfId="0" applyFont="1" applyFill="1" applyBorder="1" applyProtection="1"/>
    <xf numFmtId="9" fontId="13" fillId="0" borderId="0" xfId="0" applyNumberFormat="1" applyFont="1" applyFill="1" applyBorder="1" applyAlignment="1" applyProtection="1">
      <alignment horizontal="center"/>
    </xf>
    <xf numFmtId="9" fontId="6" fillId="0" borderId="0" xfId="0" applyNumberFormat="1" applyFont="1" applyFill="1" applyBorder="1" applyProtection="1"/>
    <xf numFmtId="167" fontId="6" fillId="0" borderId="0" xfId="0" applyNumberFormat="1" applyFont="1" applyFill="1" applyBorder="1" applyProtection="1"/>
    <xf numFmtId="168" fontId="5" fillId="0" borderId="0" xfId="0" applyNumberFormat="1" applyFont="1" applyFill="1" applyProtection="1"/>
    <xf numFmtId="4" fontId="6" fillId="0" borderId="0" xfId="0" applyNumberFormat="1" applyFont="1" applyFill="1" applyBorder="1" applyProtection="1"/>
    <xf numFmtId="168" fontId="6" fillId="0" borderId="0" xfId="0" applyNumberFormat="1" applyFont="1" applyFill="1" applyBorder="1" applyProtection="1"/>
    <xf numFmtId="167" fontId="7" fillId="0" borderId="0" xfId="0" applyNumberFormat="1" applyFont="1" applyFill="1" applyBorder="1" applyAlignment="1" applyProtection="1">
      <alignment horizontal="right"/>
    </xf>
    <xf numFmtId="9" fontId="5" fillId="0" borderId="0" xfId="0" applyNumberFormat="1" applyFont="1" applyFill="1" applyBorder="1" applyAlignment="1" applyProtection="1">
      <alignment horizontal="center"/>
    </xf>
    <xf numFmtId="9" fontId="5" fillId="0" borderId="0" xfId="0" applyNumberFormat="1" applyFont="1" applyFill="1" applyAlignment="1" applyProtection="1">
      <alignment horizontal="center"/>
    </xf>
    <xf numFmtId="0" fontId="7" fillId="0" borderId="0" xfId="0" applyFont="1" applyFill="1" applyBorder="1" applyAlignment="1" applyProtection="1">
      <alignment horizontal="left" vertical="justify" wrapText="1"/>
    </xf>
    <xf numFmtId="0" fontId="7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Alignment="1" applyProtection="1">
      <alignment horizontal="left" wrapText="1"/>
    </xf>
    <xf numFmtId="0" fontId="14" fillId="4" borderId="0" xfId="0" applyFont="1" applyFill="1" applyAlignment="1" applyProtection="1">
      <alignment vertical="center" textRotation="90"/>
    </xf>
    <xf numFmtId="0" fontId="6" fillId="4" borderId="0" xfId="0" applyFont="1" applyFill="1" applyBorder="1" applyAlignment="1" applyProtection="1">
      <alignment horizontal="right"/>
    </xf>
    <xf numFmtId="0" fontId="15" fillId="4" borderId="0" xfId="0" applyFont="1" applyFill="1" applyProtection="1"/>
    <xf numFmtId="0" fontId="5" fillId="4" borderId="0" xfId="0" applyFont="1" applyFill="1" applyAlignment="1" applyProtection="1">
      <alignment horizontal="right"/>
    </xf>
    <xf numFmtId="0" fontId="9" fillId="4" borderId="0" xfId="0" applyFont="1" applyFill="1" applyBorder="1" applyAlignment="1" applyProtection="1">
      <alignment vertical="center" wrapText="1"/>
    </xf>
    <xf numFmtId="0" fontId="16" fillId="4" borderId="0" xfId="0" applyFont="1" applyFill="1" applyBorder="1" applyAlignment="1" applyProtection="1">
      <alignment vertical="center" wrapText="1"/>
    </xf>
    <xf numFmtId="0" fontId="4" fillId="4" borderId="0" xfId="0" applyFont="1" applyFill="1" applyBorder="1" applyAlignment="1" applyProtection="1">
      <alignment vertical="center" wrapText="1"/>
    </xf>
    <xf numFmtId="0" fontId="6" fillId="4" borderId="0" xfId="0" applyFont="1" applyFill="1" applyBorder="1" applyAlignment="1" applyProtection="1">
      <alignment horizontal="left" vertical="center" wrapText="1"/>
    </xf>
    <xf numFmtId="168" fontId="6" fillId="4" borderId="0" xfId="3" applyNumberFormat="1" applyFont="1" applyFill="1" applyBorder="1" applyAlignment="1" applyProtection="1">
      <alignment horizontal="left" vertical="justify" wrapText="1" shrinkToFit="1"/>
    </xf>
    <xf numFmtId="0" fontId="14" fillId="4" borderId="0" xfId="0" applyFont="1" applyFill="1" applyBorder="1" applyAlignment="1" applyProtection="1">
      <alignment vertical="center" wrapText="1"/>
    </xf>
    <xf numFmtId="0" fontId="14" fillId="4" borderId="0" xfId="0" applyFont="1" applyFill="1" applyAlignment="1" applyProtection="1">
      <alignment horizontal="center" vertical="center" textRotation="90"/>
    </xf>
    <xf numFmtId="0" fontId="6" fillId="4" borderId="0" xfId="0" applyFont="1" applyFill="1" applyBorder="1" applyAlignment="1" applyProtection="1">
      <alignment horizontal="right" vertical="center"/>
    </xf>
    <xf numFmtId="167" fontId="6" fillId="4" borderId="0" xfId="0" applyNumberFormat="1" applyFont="1" applyFill="1" applyBorder="1" applyAlignment="1" applyProtection="1">
      <alignment horizontal="right" vertical="center"/>
    </xf>
    <xf numFmtId="0" fontId="5" fillId="4" borderId="0" xfId="0" applyFont="1" applyFill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left" vertical="center"/>
    </xf>
    <xf numFmtId="0" fontId="6" fillId="4" borderId="15" xfId="0" applyFont="1" applyFill="1" applyBorder="1" applyProtection="1"/>
    <xf numFmtId="0" fontId="6" fillId="4" borderId="16" xfId="0" applyFont="1" applyFill="1" applyBorder="1" applyAlignment="1" applyProtection="1">
      <alignment horizontal="right"/>
    </xf>
    <xf numFmtId="0" fontId="6" fillId="4" borderId="0" xfId="0" applyFont="1" applyFill="1" applyBorder="1" applyAlignment="1" applyProtection="1">
      <alignment horizontal="left" vertical="justify" wrapText="1" shrinkToFit="1"/>
    </xf>
    <xf numFmtId="0" fontId="6" fillId="4" borderId="0" xfId="0" applyFont="1" applyFill="1" applyBorder="1" applyAlignment="1" applyProtection="1">
      <alignment horizontal="left" vertical="center"/>
    </xf>
    <xf numFmtId="0" fontId="6" fillId="4" borderId="0" xfId="0" applyFont="1" applyFill="1" applyBorder="1" applyAlignment="1" applyProtection="1">
      <alignment horizontal="left" vertical="top" wrapText="1" shrinkToFit="1"/>
    </xf>
    <xf numFmtId="0" fontId="6" fillId="4" borderId="0" xfId="0" applyFont="1" applyFill="1" applyBorder="1" applyAlignment="1" applyProtection="1">
      <alignment horizontal="right" vertical="center" wrapText="1" shrinkToFit="1"/>
    </xf>
    <xf numFmtId="0" fontId="6" fillId="4" borderId="0" xfId="0" applyFont="1" applyFill="1" applyBorder="1" applyAlignment="1" applyProtection="1">
      <alignment horizontal="left" vertical="center" wrapText="1" shrinkToFit="1"/>
    </xf>
    <xf numFmtId="0" fontId="5" fillId="4" borderId="0" xfId="0" applyFont="1" applyFill="1" applyBorder="1" applyAlignment="1" applyProtection="1">
      <alignment horizontal="right"/>
    </xf>
    <xf numFmtId="0" fontId="5" fillId="4" borderId="0" xfId="0" applyFont="1" applyFill="1" applyBorder="1" applyAlignment="1" applyProtection="1"/>
    <xf numFmtId="0" fontId="6" fillId="4" borderId="0" xfId="0" applyFont="1" applyFill="1" applyBorder="1" applyAlignment="1" applyProtection="1">
      <alignment horizontal="left"/>
    </xf>
    <xf numFmtId="0" fontId="10" fillId="4" borderId="17" xfId="0" applyFont="1" applyFill="1" applyBorder="1" applyAlignment="1" applyProtection="1">
      <alignment vertical="center" wrapText="1"/>
    </xf>
    <xf numFmtId="0" fontId="10" fillId="4" borderId="0" xfId="0" applyFont="1" applyFill="1" applyBorder="1" applyAlignment="1" applyProtection="1">
      <alignment vertical="center" wrapText="1"/>
    </xf>
    <xf numFmtId="0" fontId="6" fillId="4" borderId="18" xfId="0" applyFont="1" applyFill="1" applyBorder="1" applyAlignment="1" applyProtection="1">
      <alignment horizontal="left" vertical="center"/>
    </xf>
    <xf numFmtId="0" fontId="6" fillId="4" borderId="17" xfId="0" applyFont="1" applyFill="1" applyBorder="1" applyAlignment="1" applyProtection="1">
      <alignment horizontal="left" vertical="center"/>
    </xf>
    <xf numFmtId="0" fontId="6" fillId="4" borderId="19" xfId="0" applyFont="1" applyFill="1" applyBorder="1" applyAlignment="1" applyProtection="1"/>
    <xf numFmtId="0" fontId="6" fillId="4" borderId="7" xfId="0" applyFont="1" applyFill="1" applyBorder="1" applyAlignment="1" applyProtection="1">
      <alignment horizontal="left" vertical="center"/>
    </xf>
    <xf numFmtId="0" fontId="6" fillId="4" borderId="19" xfId="0" applyFont="1" applyFill="1" applyBorder="1" applyProtection="1"/>
    <xf numFmtId="0" fontId="5" fillId="4" borderId="20" xfId="0" applyFont="1" applyFill="1" applyBorder="1" applyProtection="1"/>
    <xf numFmtId="0" fontId="5" fillId="4" borderId="21" xfId="0" applyFont="1" applyFill="1" applyBorder="1" applyProtection="1"/>
    <xf numFmtId="0" fontId="6" fillId="4" borderId="20" xfId="0" applyFont="1" applyFill="1" applyBorder="1" applyAlignment="1" applyProtection="1">
      <alignment horizontal="right"/>
    </xf>
    <xf numFmtId="0" fontId="6" fillId="4" borderId="21" xfId="0" applyFont="1" applyFill="1" applyBorder="1" applyAlignment="1" applyProtection="1">
      <alignment horizontal="right"/>
    </xf>
    <xf numFmtId="0" fontId="5" fillId="4" borderId="19" xfId="0" applyFont="1" applyFill="1" applyBorder="1" applyProtection="1"/>
    <xf numFmtId="1" fontId="5" fillId="4" borderId="0" xfId="0" applyNumberFormat="1" applyFont="1" applyFill="1" applyProtection="1"/>
    <xf numFmtId="167" fontId="6" fillId="4" borderId="0" xfId="0" applyNumberFormat="1" applyFont="1" applyFill="1" applyBorder="1" applyAlignment="1" applyProtection="1">
      <alignment horizontal="left" vertical="justify" wrapText="1" shrinkToFit="1"/>
    </xf>
    <xf numFmtId="168" fontId="6" fillId="4" borderId="0" xfId="0" applyNumberFormat="1" applyFont="1" applyFill="1" applyBorder="1" applyAlignment="1" applyProtection="1">
      <alignment horizontal="left" vertical="top" wrapText="1" shrinkToFit="1"/>
    </xf>
    <xf numFmtId="6" fontId="15" fillId="4" borderId="0" xfId="0" applyNumberFormat="1" applyFont="1" applyFill="1" applyAlignment="1" applyProtection="1">
      <alignment horizontal="left"/>
    </xf>
    <xf numFmtId="0" fontId="17" fillId="4" borderId="0" xfId="0" applyFont="1" applyFill="1" applyBorder="1" applyAlignment="1" applyProtection="1">
      <alignment vertical="center" wrapText="1"/>
    </xf>
    <xf numFmtId="167" fontId="15" fillId="4" borderId="0" xfId="0" applyNumberFormat="1" applyFont="1" applyFill="1" applyBorder="1" applyProtection="1"/>
    <xf numFmtId="9" fontId="14" fillId="4" borderId="0" xfId="0" applyNumberFormat="1" applyFont="1" applyFill="1" applyBorder="1" applyAlignment="1" applyProtection="1">
      <alignment horizontal="center"/>
    </xf>
    <xf numFmtId="0" fontId="22" fillId="4" borderId="0" xfId="0" applyFont="1" applyFill="1" applyProtection="1"/>
    <xf numFmtId="0" fontId="22" fillId="4" borderId="0" xfId="0" applyFont="1" applyFill="1" applyAlignment="1" applyProtection="1">
      <alignment horizontal="right"/>
    </xf>
    <xf numFmtId="0" fontId="23" fillId="4" borderId="0" xfId="0" applyFont="1" applyFill="1" applyProtection="1"/>
    <xf numFmtId="0" fontId="23" fillId="4" borderId="0" xfId="0" applyFont="1" applyFill="1" applyBorder="1" applyAlignment="1" applyProtection="1">
      <alignment horizontal="left" vertical="center"/>
    </xf>
    <xf numFmtId="0" fontId="23" fillId="4" borderId="0" xfId="0" applyFont="1" applyFill="1" applyBorder="1" applyAlignment="1" applyProtection="1">
      <alignment horizontal="center"/>
    </xf>
    <xf numFmtId="10" fontId="22" fillId="4" borderId="0" xfId="0" applyNumberFormat="1" applyFont="1" applyFill="1" applyProtection="1"/>
    <xf numFmtId="167" fontId="23" fillId="4" borderId="0" xfId="0" applyNumberFormat="1" applyFont="1" applyFill="1" applyAlignment="1" applyProtection="1">
      <alignment horizontal="center"/>
    </xf>
    <xf numFmtId="9" fontId="23" fillId="4" borderId="0" xfId="0" applyNumberFormat="1" applyFont="1" applyFill="1" applyBorder="1" applyAlignment="1" applyProtection="1">
      <alignment horizontal="center"/>
    </xf>
    <xf numFmtId="0" fontId="22" fillId="0" borderId="0" xfId="0" applyFont="1" applyFill="1" applyProtection="1"/>
    <xf numFmtId="1" fontId="23" fillId="0" borderId="0" xfId="0" applyNumberFormat="1" applyFont="1" applyFill="1" applyBorder="1" applyAlignment="1" applyProtection="1">
      <alignment horizontal="center"/>
    </xf>
    <xf numFmtId="10" fontId="22" fillId="0" borderId="0" xfId="0" applyNumberFormat="1" applyFont="1" applyFill="1" applyProtection="1"/>
    <xf numFmtId="0" fontId="22" fillId="0" borderId="0" xfId="0" applyFont="1" applyFill="1" applyAlignment="1" applyProtection="1">
      <alignment horizontal="right"/>
    </xf>
    <xf numFmtId="0" fontId="23" fillId="0" borderId="0" xfId="0" applyFont="1" applyFill="1" applyProtection="1"/>
    <xf numFmtId="168" fontId="15" fillId="4" borderId="0" xfId="0" applyNumberFormat="1" applyFont="1" applyFill="1" applyProtection="1"/>
    <xf numFmtId="9" fontId="14" fillId="4" borderId="0" xfId="0" applyNumberFormat="1" applyFont="1" applyFill="1" applyAlignment="1" applyProtection="1">
      <alignment vertical="center" textRotation="90"/>
    </xf>
    <xf numFmtId="0" fontId="5" fillId="4" borderId="16" xfId="0" applyFont="1" applyFill="1" applyBorder="1" applyProtection="1"/>
    <xf numFmtId="167" fontId="6" fillId="2" borderId="3" xfId="0" applyNumberFormat="1" applyFont="1" applyFill="1" applyBorder="1" applyAlignment="1" applyProtection="1">
      <alignment horizontal="right" vertical="center"/>
      <protection locked="0"/>
    </xf>
    <xf numFmtId="9" fontId="6" fillId="2" borderId="1" xfId="0" applyNumberFormat="1" applyFont="1" applyFill="1" applyBorder="1" applyAlignment="1" applyProtection="1">
      <alignment horizontal="right" vertical="center"/>
      <protection locked="0"/>
    </xf>
    <xf numFmtId="167" fontId="6" fillId="4" borderId="0" xfId="0" applyNumberFormat="1" applyFont="1" applyFill="1" applyBorder="1" applyAlignment="1" applyProtection="1">
      <alignment horizontal="left" vertical="center"/>
    </xf>
    <xf numFmtId="167" fontId="6" fillId="4" borderId="0" xfId="0" applyNumberFormat="1" applyFont="1" applyFill="1" applyBorder="1" applyAlignment="1" applyProtection="1">
      <alignment horizontal="left" vertical="top" wrapText="1" shrinkToFit="1"/>
    </xf>
    <xf numFmtId="167" fontId="6" fillId="2" borderId="8" xfId="0" applyNumberFormat="1" applyFont="1" applyFill="1" applyBorder="1" applyAlignment="1" applyProtection="1">
      <alignment horizontal="right" vertical="center"/>
      <protection locked="0"/>
    </xf>
    <xf numFmtId="213" fontId="6" fillId="2" borderId="1" xfId="0" applyNumberFormat="1" applyFont="1" applyFill="1" applyBorder="1" applyAlignment="1" applyProtection="1">
      <alignment horizontal="right" vertical="center"/>
      <protection locked="0"/>
    </xf>
    <xf numFmtId="0" fontId="20" fillId="4" borderId="0" xfId="0" applyFont="1" applyFill="1" applyBorder="1" applyAlignment="1" applyProtection="1">
      <alignment vertical="center" wrapText="1"/>
    </xf>
    <xf numFmtId="10" fontId="6" fillId="4" borderId="19" xfId="0" applyNumberFormat="1" applyFont="1" applyFill="1" applyBorder="1" applyAlignment="1" applyProtection="1">
      <alignment horizontal="right" vertical="center" wrapText="1"/>
    </xf>
    <xf numFmtId="167" fontId="6" fillId="4" borderId="0" xfId="0" applyNumberFormat="1" applyFont="1" applyFill="1" applyBorder="1" applyAlignment="1" applyProtection="1">
      <alignment horizontal="right" vertical="center" wrapText="1"/>
    </xf>
    <xf numFmtId="8" fontId="7" fillId="4" borderId="0" xfId="0" applyNumberFormat="1" applyFont="1" applyFill="1" applyBorder="1" applyAlignment="1" applyProtection="1">
      <alignment vertical="center" wrapText="1"/>
    </xf>
    <xf numFmtId="9" fontId="7" fillId="4" borderId="0" xfId="0" applyNumberFormat="1" applyFont="1" applyFill="1" applyBorder="1" applyAlignment="1" applyProtection="1">
      <alignment vertical="center" wrapText="1"/>
    </xf>
    <xf numFmtId="0" fontId="6" fillId="3" borderId="11" xfId="0" applyFont="1" applyFill="1" applyBorder="1" applyAlignment="1" applyProtection="1">
      <alignment horizontal="center" vertical="center" wrapText="1"/>
    </xf>
    <xf numFmtId="2" fontId="6" fillId="3" borderId="11" xfId="0" applyNumberFormat="1" applyFont="1" applyFill="1" applyBorder="1" applyAlignment="1" applyProtection="1">
      <alignment horizontal="center" vertical="center" wrapText="1"/>
    </xf>
    <xf numFmtId="1" fontId="6" fillId="3" borderId="11" xfId="0" applyNumberFormat="1" applyFont="1" applyFill="1" applyBorder="1" applyAlignment="1" applyProtection="1">
      <alignment horizontal="center" vertical="center" wrapText="1"/>
    </xf>
    <xf numFmtId="167" fontId="6" fillId="3" borderId="11" xfId="0" applyNumberFormat="1" applyFont="1" applyFill="1" applyBorder="1" applyAlignment="1" applyProtection="1">
      <alignment horizontal="center" vertical="center" wrapText="1"/>
    </xf>
    <xf numFmtId="167" fontId="6" fillId="0" borderId="22" xfId="0" applyNumberFormat="1" applyFont="1" applyFill="1" applyBorder="1" applyAlignment="1" applyProtection="1">
      <alignment horizontal="center" vertical="center"/>
    </xf>
    <xf numFmtId="167" fontId="24" fillId="5" borderId="6" xfId="0" applyNumberFormat="1" applyFont="1" applyFill="1" applyBorder="1" applyAlignment="1" applyProtection="1">
      <alignment horizontal="center" vertical="center"/>
    </xf>
    <xf numFmtId="10" fontId="24" fillId="5" borderId="6" xfId="0" applyNumberFormat="1" applyFont="1" applyFill="1" applyBorder="1" applyAlignment="1" applyProtection="1">
      <alignment horizontal="center" vertical="center"/>
    </xf>
    <xf numFmtId="2" fontId="6" fillId="0" borderId="6" xfId="0" applyNumberFormat="1" applyFont="1" applyFill="1" applyBorder="1" applyAlignment="1" applyProtection="1">
      <alignment horizontal="center" vertical="center"/>
    </xf>
    <xf numFmtId="9" fontId="23" fillId="4" borderId="0" xfId="1" applyNumberFormat="1" applyFont="1" applyFill="1" applyBorder="1" applyAlignment="1" applyProtection="1">
      <alignment horizontal="right"/>
    </xf>
    <xf numFmtId="10" fontId="22" fillId="4" borderId="0" xfId="0" applyNumberFormat="1" applyFont="1" applyFill="1" applyAlignment="1" applyProtection="1">
      <alignment horizontal="right"/>
    </xf>
    <xf numFmtId="168" fontId="17" fillId="4" borderId="0" xfId="0" applyNumberFormat="1" applyFont="1" applyFill="1" applyBorder="1" applyAlignment="1" applyProtection="1">
      <alignment vertical="center" wrapText="1"/>
    </xf>
    <xf numFmtId="168" fontId="5" fillId="4" borderId="0" xfId="0" applyNumberFormat="1" applyFont="1" applyFill="1" applyBorder="1" applyAlignment="1" applyProtection="1">
      <alignment horizontal="right"/>
    </xf>
    <xf numFmtId="168" fontId="16" fillId="4" borderId="0" xfId="0" applyNumberFormat="1" applyFont="1" applyFill="1" applyBorder="1" applyAlignment="1" applyProtection="1">
      <alignment vertical="center" wrapText="1"/>
    </xf>
    <xf numFmtId="2" fontId="16" fillId="4" borderId="0" xfId="0" applyNumberFormat="1" applyFont="1" applyFill="1" applyBorder="1" applyAlignment="1" applyProtection="1">
      <alignment vertical="center" wrapText="1"/>
    </xf>
    <xf numFmtId="4" fontId="15" fillId="0" borderId="0" xfId="0" applyNumberFormat="1" applyFont="1" applyFill="1" applyProtection="1"/>
    <xf numFmtId="10" fontId="6" fillId="4" borderId="3" xfId="0" applyNumberFormat="1" applyFont="1" applyFill="1" applyBorder="1" applyAlignment="1" applyProtection="1">
      <alignment horizontal="right" vertical="center"/>
    </xf>
    <xf numFmtId="0" fontId="14" fillId="3" borderId="2" xfId="0" applyFont="1" applyFill="1" applyBorder="1" applyAlignment="1" applyProtection="1">
      <alignment horizontal="center" vertical="center" textRotation="90" wrapText="1"/>
    </xf>
    <xf numFmtId="0" fontId="14" fillId="3" borderId="23" xfId="0" applyFont="1" applyFill="1" applyBorder="1" applyAlignment="1" applyProtection="1">
      <alignment horizontal="center" vertical="center" textRotation="90" wrapText="1"/>
    </xf>
    <xf numFmtId="0" fontId="14" fillId="3" borderId="3" xfId="0" applyFont="1" applyFill="1" applyBorder="1" applyAlignment="1" applyProtection="1">
      <alignment horizontal="center" vertical="center" textRotation="90" wrapText="1"/>
    </xf>
    <xf numFmtId="0" fontId="6" fillId="4" borderId="12" xfId="0" applyFont="1" applyFill="1" applyBorder="1" applyProtection="1"/>
    <xf numFmtId="0" fontId="5" fillId="4" borderId="8" xfId="0" applyFont="1" applyFill="1" applyBorder="1" applyProtection="1"/>
    <xf numFmtId="0" fontId="14" fillId="4" borderId="0" xfId="0" applyFont="1" applyFill="1" applyBorder="1" applyAlignment="1" applyProtection="1">
      <alignment vertical="center" textRotation="90" wrapText="1"/>
    </xf>
    <xf numFmtId="0" fontId="5" fillId="3" borderId="8" xfId="0" applyFont="1" applyFill="1" applyBorder="1" applyProtection="1"/>
    <xf numFmtId="0" fontId="24" fillId="3" borderId="18" xfId="0" applyFont="1" applyFill="1" applyBorder="1" applyProtection="1"/>
    <xf numFmtId="0" fontId="5" fillId="3" borderId="19" xfId="0" applyFont="1" applyFill="1" applyBorder="1" applyProtection="1"/>
    <xf numFmtId="0" fontId="6" fillId="4" borderId="18" xfId="0" applyFont="1" applyFill="1" applyBorder="1" applyAlignment="1" applyProtection="1">
      <alignment horizontal="left" vertical="top" wrapText="1"/>
    </xf>
    <xf numFmtId="0" fontId="6" fillId="4" borderId="20" xfId="0" applyFont="1" applyFill="1" applyBorder="1" applyAlignment="1" applyProtection="1">
      <alignment horizontal="right" vertical="center"/>
    </xf>
    <xf numFmtId="0" fontId="6" fillId="4" borderId="17" xfId="0" applyFont="1" applyFill="1" applyBorder="1" applyAlignment="1" applyProtection="1">
      <alignment horizontal="left" vertical="top" wrapText="1"/>
    </xf>
    <xf numFmtId="0" fontId="6" fillId="4" borderId="21" xfId="0" applyFont="1" applyFill="1" applyBorder="1" applyAlignment="1" applyProtection="1">
      <alignment horizontal="right" vertical="center"/>
    </xf>
    <xf numFmtId="0" fontId="6" fillId="4" borderId="17" xfId="0" applyFont="1" applyFill="1" applyBorder="1" applyAlignment="1" applyProtection="1">
      <alignment horizontal="right"/>
    </xf>
    <xf numFmtId="0" fontId="7" fillId="0" borderId="14" xfId="0" applyFont="1" applyFill="1" applyBorder="1" applyProtection="1"/>
    <xf numFmtId="0" fontId="6" fillId="0" borderId="16" xfId="0" applyFont="1" applyFill="1" applyBorder="1" applyAlignment="1" applyProtection="1">
      <alignment horizontal="right" vertical="center"/>
    </xf>
    <xf numFmtId="0" fontId="22" fillId="4" borderId="17" xfId="0" applyFont="1" applyFill="1" applyBorder="1" applyAlignment="1" applyProtection="1">
      <alignment horizontal="left" vertical="center"/>
    </xf>
    <xf numFmtId="0" fontId="22" fillId="4" borderId="0" xfId="0" applyFont="1" applyFill="1" applyBorder="1" applyProtection="1"/>
    <xf numFmtId="0" fontId="22" fillId="4" borderId="21" xfId="0" applyFont="1" applyFill="1" applyBorder="1" applyProtection="1"/>
    <xf numFmtId="6" fontId="22" fillId="2" borderId="2" xfId="0" applyNumberFormat="1" applyFont="1" applyFill="1" applyBorder="1" applyAlignment="1" applyProtection="1">
      <alignment horizontal="right" vertical="center"/>
      <protection locked="0"/>
    </xf>
    <xf numFmtId="0" fontId="23" fillId="4" borderId="18" xfId="0" applyFont="1" applyFill="1" applyBorder="1" applyAlignment="1" applyProtection="1">
      <alignment horizontal="left" vertical="center"/>
    </xf>
    <xf numFmtId="0" fontId="22" fillId="4" borderId="20" xfId="0" applyFont="1" applyFill="1" applyBorder="1" applyAlignment="1" applyProtection="1">
      <alignment horizontal="right"/>
    </xf>
    <xf numFmtId="0" fontId="22" fillId="4" borderId="21" xfId="0" applyFont="1" applyFill="1" applyBorder="1" applyAlignment="1" applyProtection="1">
      <alignment horizontal="right"/>
    </xf>
    <xf numFmtId="167" fontId="22" fillId="2" borderId="1" xfId="0" applyNumberFormat="1" applyFont="1" applyFill="1" applyBorder="1" applyAlignment="1" applyProtection="1">
      <alignment horizontal="right" vertical="center"/>
      <protection locked="0"/>
    </xf>
    <xf numFmtId="0" fontId="22" fillId="4" borderId="18" xfId="0" applyFont="1" applyFill="1" applyBorder="1" applyAlignment="1" applyProtection="1">
      <alignment horizontal="left" vertical="center"/>
    </xf>
    <xf numFmtId="0" fontId="22" fillId="4" borderId="19" xfId="0" applyFont="1" applyFill="1" applyBorder="1" applyAlignment="1" applyProtection="1">
      <alignment horizontal="left"/>
    </xf>
    <xf numFmtId="6" fontId="22" fillId="2" borderId="1" xfId="0" applyNumberFormat="1" applyFont="1" applyFill="1" applyBorder="1" applyAlignment="1" applyProtection="1">
      <alignment horizontal="right" vertical="center"/>
      <protection locked="0"/>
    </xf>
    <xf numFmtId="0" fontId="22" fillId="4" borderId="0" xfId="0" applyFont="1" applyFill="1" applyBorder="1" applyAlignment="1" applyProtection="1">
      <alignment horizontal="left"/>
    </xf>
    <xf numFmtId="0" fontId="23" fillId="4" borderId="7" xfId="0" applyFont="1" applyFill="1" applyBorder="1" applyAlignment="1" applyProtection="1">
      <alignment horizontal="left" vertical="center"/>
    </xf>
    <xf numFmtId="0" fontId="23" fillId="4" borderId="12" xfId="0" applyFont="1" applyFill="1" applyBorder="1" applyAlignment="1" applyProtection="1">
      <alignment horizontal="left"/>
    </xf>
    <xf numFmtId="0" fontId="22" fillId="4" borderId="8" xfId="0" applyFont="1" applyFill="1" applyBorder="1" applyAlignment="1" applyProtection="1">
      <alignment horizontal="right"/>
    </xf>
    <xf numFmtId="6" fontId="23" fillId="0" borderId="1" xfId="0" applyNumberFormat="1" applyFont="1" applyFill="1" applyBorder="1" applyAlignment="1" applyProtection="1">
      <alignment horizontal="right" vertical="center"/>
    </xf>
    <xf numFmtId="8" fontId="8" fillId="4" borderId="0" xfId="0" applyNumberFormat="1" applyFont="1" applyFill="1" applyBorder="1" applyAlignment="1" applyProtection="1">
      <alignment vertical="center" wrapText="1"/>
    </xf>
    <xf numFmtId="0" fontId="22" fillId="4" borderId="19" xfId="0" applyFont="1" applyFill="1" applyBorder="1" applyProtection="1"/>
    <xf numFmtId="167" fontId="23" fillId="2" borderId="8" xfId="0" applyNumberFormat="1" applyFont="1" applyFill="1" applyBorder="1" applyAlignment="1" applyProtection="1">
      <alignment horizontal="right" vertical="center"/>
      <protection locked="0"/>
    </xf>
    <xf numFmtId="0" fontId="23" fillId="4" borderId="14" xfId="0" applyFont="1" applyFill="1" applyBorder="1" applyAlignment="1" applyProtection="1">
      <alignment horizontal="left" vertical="center"/>
    </xf>
    <xf numFmtId="0" fontId="22" fillId="4" borderId="15" xfId="0" applyFont="1" applyFill="1" applyBorder="1" applyProtection="1"/>
    <xf numFmtId="0" fontId="22" fillId="4" borderId="16" xfId="0" applyFont="1" applyFill="1" applyBorder="1" applyAlignment="1" applyProtection="1">
      <alignment horizontal="right"/>
    </xf>
    <xf numFmtId="167" fontId="23" fillId="0" borderId="8" xfId="0" applyNumberFormat="1" applyFont="1" applyFill="1" applyBorder="1" applyAlignment="1" applyProtection="1">
      <alignment horizontal="right" vertical="center"/>
    </xf>
    <xf numFmtId="6" fontId="6" fillId="4" borderId="1" xfId="0" applyNumberFormat="1" applyFont="1" applyFill="1" applyBorder="1" applyAlignment="1" applyProtection="1">
      <alignment horizontal="right" vertical="center"/>
    </xf>
    <xf numFmtId="8" fontId="5" fillId="4" borderId="0" xfId="0" applyNumberFormat="1" applyFont="1" applyFill="1" applyProtection="1"/>
    <xf numFmtId="0" fontId="21" fillId="4" borderId="0" xfId="0" applyFont="1" applyFill="1" applyBorder="1" applyAlignment="1" applyProtection="1">
      <alignment horizontal="right" vertical="center"/>
    </xf>
    <xf numFmtId="0" fontId="6" fillId="0" borderId="7" xfId="0" applyFont="1" applyFill="1" applyBorder="1" applyAlignment="1" applyProtection="1">
      <alignment horizontal="left" vertical="center" wrapText="1" shrinkToFit="1"/>
    </xf>
    <xf numFmtId="0" fontId="6" fillId="0" borderId="12" xfId="0" applyFont="1" applyFill="1" applyBorder="1" applyAlignment="1" applyProtection="1">
      <alignment horizontal="left" vertical="center" wrapText="1" shrinkToFit="1"/>
    </xf>
    <xf numFmtId="0" fontId="6" fillId="0" borderId="8" xfId="0" applyFont="1" applyFill="1" applyBorder="1" applyAlignment="1" applyProtection="1">
      <alignment horizontal="left" vertical="center" wrapText="1" shrinkToFit="1"/>
    </xf>
    <xf numFmtId="0" fontId="20" fillId="2" borderId="18" xfId="0" applyFont="1" applyFill="1" applyBorder="1" applyAlignment="1" applyProtection="1">
      <alignment horizontal="center" vertical="center" wrapText="1"/>
    </xf>
    <xf numFmtId="0" fontId="20" fillId="2" borderId="19" xfId="0" applyFont="1" applyFill="1" applyBorder="1" applyAlignment="1" applyProtection="1">
      <alignment horizontal="center" vertical="center" wrapText="1"/>
    </xf>
    <xf numFmtId="0" fontId="20" fillId="2" borderId="20" xfId="0" applyFont="1" applyFill="1" applyBorder="1" applyAlignment="1" applyProtection="1">
      <alignment horizontal="center" vertical="center" wrapText="1"/>
    </xf>
    <xf numFmtId="0" fontId="20" fillId="2" borderId="14" xfId="0" applyFont="1" applyFill="1" applyBorder="1" applyAlignment="1" applyProtection="1">
      <alignment horizontal="center" vertical="center" wrapText="1"/>
    </xf>
    <xf numFmtId="0" fontId="20" fillId="2" borderId="15" xfId="0" applyFont="1" applyFill="1" applyBorder="1" applyAlignment="1" applyProtection="1">
      <alignment horizontal="center" vertical="center" wrapText="1"/>
    </xf>
    <xf numFmtId="0" fontId="20" fillId="2" borderId="16" xfId="0" applyFont="1" applyFill="1" applyBorder="1" applyAlignment="1" applyProtection="1">
      <alignment horizontal="center" vertical="center" wrapText="1"/>
    </xf>
    <xf numFmtId="0" fontId="6" fillId="2" borderId="7" xfId="0" applyFont="1" applyFill="1" applyBorder="1" applyAlignment="1" applyProtection="1">
      <alignment horizontal="left" vertical="center"/>
      <protection locked="0"/>
    </xf>
    <xf numFmtId="0" fontId="6" fillId="2" borderId="12" xfId="0" applyFont="1" applyFill="1" applyBorder="1" applyAlignment="1" applyProtection="1">
      <alignment horizontal="left" vertical="center"/>
      <protection locked="0"/>
    </xf>
    <xf numFmtId="0" fontId="6" fillId="2" borderId="8" xfId="0" applyFont="1" applyFill="1" applyBorder="1" applyAlignment="1" applyProtection="1">
      <alignment horizontal="left" vertical="center"/>
      <protection locked="0"/>
    </xf>
    <xf numFmtId="9" fontId="6" fillId="2" borderId="7" xfId="0" applyNumberFormat="1" applyFont="1" applyFill="1" applyBorder="1" applyAlignment="1" applyProtection="1">
      <alignment horizontal="left" vertical="center"/>
      <protection locked="0"/>
    </xf>
    <xf numFmtId="0" fontId="8" fillId="2" borderId="18" xfId="0" applyFont="1" applyFill="1" applyBorder="1" applyAlignment="1" applyProtection="1">
      <alignment horizontal="center" vertical="center"/>
      <protection locked="0"/>
    </xf>
    <xf numFmtId="0" fontId="8" fillId="2" borderId="20" xfId="0" applyFont="1" applyFill="1" applyBorder="1" applyAlignment="1" applyProtection="1">
      <alignment horizontal="center" vertical="center"/>
      <protection locked="0"/>
    </xf>
    <xf numFmtId="0" fontId="8" fillId="2" borderId="14" xfId="0" applyFont="1" applyFill="1" applyBorder="1" applyAlignment="1" applyProtection="1">
      <alignment horizontal="center" vertical="center"/>
      <protection locked="0"/>
    </xf>
    <xf numFmtId="0" fontId="8" fillId="2" borderId="16" xfId="0" applyFont="1" applyFill="1" applyBorder="1" applyAlignment="1" applyProtection="1">
      <alignment horizontal="center" vertical="center"/>
      <protection locked="0"/>
    </xf>
    <xf numFmtId="0" fontId="21" fillId="4" borderId="17" xfId="0" applyFont="1" applyFill="1" applyBorder="1" applyAlignment="1" applyProtection="1">
      <alignment horizontal="right" vertical="center"/>
    </xf>
    <xf numFmtId="0" fontId="21" fillId="4" borderId="0" xfId="0" applyFont="1" applyFill="1" applyBorder="1" applyAlignment="1" applyProtection="1">
      <alignment horizontal="right" vertical="center"/>
    </xf>
    <xf numFmtId="0" fontId="14" fillId="3" borderId="2" xfId="0" applyFont="1" applyFill="1" applyBorder="1" applyAlignment="1" applyProtection="1">
      <alignment horizontal="center" vertical="center" textRotation="90" wrapText="1"/>
    </xf>
    <xf numFmtId="0" fontId="14" fillId="3" borderId="23" xfId="0" applyFont="1" applyFill="1" applyBorder="1" applyAlignment="1" applyProtection="1">
      <alignment horizontal="center" vertical="center" textRotation="90" wrapText="1"/>
    </xf>
    <xf numFmtId="0" fontId="14" fillId="3" borderId="3" xfId="0" applyFont="1" applyFill="1" applyBorder="1" applyAlignment="1" applyProtection="1">
      <alignment horizontal="center" vertical="center" textRotation="90" wrapText="1"/>
    </xf>
    <xf numFmtId="0" fontId="6" fillId="0" borderId="7" xfId="0" applyFont="1" applyFill="1" applyBorder="1" applyAlignment="1" applyProtection="1">
      <alignment horizontal="left"/>
    </xf>
    <xf numFmtId="0" fontId="6" fillId="0" borderId="8" xfId="0" applyFont="1" applyFill="1" applyBorder="1" applyAlignment="1" applyProtection="1">
      <alignment horizontal="left"/>
    </xf>
    <xf numFmtId="9" fontId="6" fillId="2" borderId="7" xfId="0" applyNumberFormat="1" applyFont="1" applyFill="1" applyBorder="1" applyAlignment="1" applyProtection="1">
      <alignment horizontal="center" vertical="center"/>
      <protection locked="0"/>
    </xf>
    <xf numFmtId="9" fontId="6" fillId="2" borderId="8" xfId="0" applyNumberFormat="1" applyFont="1" applyFill="1" applyBorder="1" applyAlignment="1" applyProtection="1">
      <alignment horizontal="center" vertical="center"/>
      <protection locked="0"/>
    </xf>
    <xf numFmtId="0" fontId="19" fillId="3" borderId="2" xfId="0" applyFont="1" applyFill="1" applyBorder="1" applyAlignment="1" applyProtection="1">
      <alignment horizontal="center" vertical="center" textRotation="90" wrapText="1"/>
    </xf>
    <xf numFmtId="0" fontId="19" fillId="3" borderId="23" xfId="0" applyFont="1" applyFill="1" applyBorder="1" applyAlignment="1" applyProtection="1">
      <alignment horizontal="center" vertical="center" textRotation="90" wrapText="1"/>
    </xf>
    <xf numFmtId="0" fontId="19" fillId="3" borderId="3" xfId="0" applyFont="1" applyFill="1" applyBorder="1" applyAlignment="1" applyProtection="1">
      <alignment horizontal="center" vertical="center" textRotation="90" wrapText="1"/>
    </xf>
    <xf numFmtId="0" fontId="6" fillId="3" borderId="24" xfId="0" applyFont="1" applyFill="1" applyBorder="1" applyAlignment="1" applyProtection="1">
      <alignment horizontal="center" vertical="center" wrapText="1"/>
    </xf>
    <xf numFmtId="0" fontId="6" fillId="3" borderId="11" xfId="0" applyFont="1" applyFill="1" applyBorder="1" applyAlignment="1" applyProtection="1">
      <alignment horizontal="center" vertical="center" wrapText="1"/>
    </xf>
    <xf numFmtId="0" fontId="0" fillId="3" borderId="23" xfId="0" applyFill="1" applyBorder="1" applyProtection="1"/>
    <xf numFmtId="0" fontId="0" fillId="3" borderId="3" xfId="0" applyFill="1" applyBorder="1" applyProtection="1"/>
    <xf numFmtId="0" fontId="25" fillId="3" borderId="7" xfId="0" applyFont="1" applyFill="1" applyBorder="1" applyAlignment="1" applyProtection="1">
      <alignment horizontal="center" vertical="center" wrapText="1"/>
    </xf>
    <xf numFmtId="0" fontId="25" fillId="3" borderId="12" xfId="0" applyFont="1" applyFill="1" applyBorder="1" applyAlignment="1" applyProtection="1">
      <alignment horizontal="center" vertical="center" wrapText="1"/>
    </xf>
    <xf numFmtId="0" fontId="25" fillId="3" borderId="8" xfId="0" applyFont="1" applyFill="1" applyBorder="1" applyAlignment="1" applyProtection="1">
      <alignment horizontal="center" vertical="center" wrapText="1"/>
    </xf>
    <xf numFmtId="9" fontId="24" fillId="3" borderId="2" xfId="0" applyNumberFormat="1" applyFont="1" applyFill="1" applyBorder="1" applyAlignment="1" applyProtection="1">
      <alignment horizontal="center" vertical="center" textRotation="90" wrapText="1"/>
    </xf>
    <xf numFmtId="0" fontId="24" fillId="3" borderId="3" xfId="0" applyFont="1" applyFill="1" applyBorder="1" applyAlignment="1" applyProtection="1">
      <alignment horizontal="center" vertical="center" textRotation="90" wrapText="1"/>
    </xf>
    <xf numFmtId="0" fontId="11" fillId="0" borderId="0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8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 applyAlignment="1" applyProtection="1">
      <alignment horizontal="left" vertical="center" wrapText="1"/>
    </xf>
    <xf numFmtId="0" fontId="5" fillId="2" borderId="7" xfId="0" applyFont="1" applyFill="1" applyBorder="1" applyAlignment="1" applyProtection="1">
      <alignment horizontal="left" vertical="center" wrapText="1"/>
      <protection locked="0"/>
    </xf>
    <xf numFmtId="0" fontId="5" fillId="2" borderId="12" xfId="0" applyFont="1" applyFill="1" applyBorder="1" applyAlignment="1" applyProtection="1">
      <alignment horizontal="left" vertical="center" wrapText="1"/>
      <protection locked="0"/>
    </xf>
    <xf numFmtId="0" fontId="5" fillId="2" borderId="8" xfId="0" applyFont="1" applyFill="1" applyBorder="1" applyAlignment="1" applyProtection="1">
      <alignment horizontal="left" vertical="center" wrapText="1"/>
      <protection locked="0"/>
    </xf>
    <xf numFmtId="0" fontId="14" fillId="3" borderId="17" xfId="0" applyFont="1" applyFill="1" applyBorder="1" applyAlignment="1" applyProtection="1">
      <alignment horizontal="center" vertical="center" textRotation="90" wrapText="1"/>
    </xf>
    <xf numFmtId="49" fontId="6" fillId="2" borderId="7" xfId="0" applyNumberFormat="1" applyFont="1" applyFill="1" applyBorder="1" applyAlignment="1" applyProtection="1">
      <alignment horizontal="left" vertical="center" wrapText="1" shrinkToFit="1"/>
      <protection locked="0"/>
    </xf>
    <xf numFmtId="49" fontId="6" fillId="2" borderId="12" xfId="0" applyNumberFormat="1" applyFont="1" applyFill="1" applyBorder="1" applyAlignment="1" applyProtection="1">
      <alignment horizontal="left" vertical="center" wrapText="1" shrinkToFit="1"/>
      <protection locked="0"/>
    </xf>
    <xf numFmtId="49" fontId="6" fillId="2" borderId="8" xfId="0" applyNumberFormat="1" applyFont="1" applyFill="1" applyBorder="1" applyAlignment="1" applyProtection="1">
      <alignment horizontal="left" vertical="center" wrapText="1" shrinkToFit="1"/>
      <protection locked="0"/>
    </xf>
    <xf numFmtId="167" fontId="5" fillId="4" borderId="0" xfId="0" applyNumberFormat="1" applyFont="1" applyFill="1" applyProtection="1"/>
    <xf numFmtId="194" fontId="6" fillId="4" borderId="0" xfId="4" applyNumberFormat="1" applyFont="1" applyFill="1" applyBorder="1" applyAlignment="1" applyProtection="1">
      <alignment horizontal="left" vertical="justify" wrapText="1" shrinkToFit="1"/>
    </xf>
    <xf numFmtId="0" fontId="15" fillId="4" borderId="0" xfId="0" applyFont="1" applyFill="1" applyAlignment="1" applyProtection="1">
      <alignment horizontal="center"/>
    </xf>
    <xf numFmtId="0" fontId="22" fillId="4" borderId="0" xfId="0" applyFont="1" applyFill="1" applyAlignment="1" applyProtection="1">
      <alignment horizontal="center"/>
    </xf>
    <xf numFmtId="0" fontId="23" fillId="4" borderId="0" xfId="0" applyNumberFormat="1" applyFont="1" applyFill="1" applyBorder="1" applyAlignment="1" applyProtection="1">
      <alignment horizontal="center"/>
    </xf>
    <xf numFmtId="10" fontId="23" fillId="4" borderId="0" xfId="0" applyNumberFormat="1" applyFont="1" applyFill="1" applyBorder="1" applyAlignment="1" applyProtection="1">
      <alignment horizontal="center"/>
    </xf>
    <xf numFmtId="217" fontId="23" fillId="4" borderId="0" xfId="1" applyNumberFormat="1" applyFont="1" applyFill="1" applyBorder="1" applyAlignment="1" applyProtection="1">
      <alignment horizontal="center"/>
    </xf>
    <xf numFmtId="9" fontId="23" fillId="4" borderId="0" xfId="1" applyNumberFormat="1" applyFont="1" applyFill="1" applyBorder="1" applyAlignment="1" applyProtection="1">
      <alignment horizontal="center"/>
    </xf>
    <xf numFmtId="9" fontId="23" fillId="4" borderId="0" xfId="0" applyNumberFormat="1" applyFont="1" applyFill="1" applyAlignment="1" applyProtection="1">
      <alignment horizontal="center"/>
    </xf>
    <xf numFmtId="0" fontId="22" fillId="4" borderId="0" xfId="0" applyNumberFormat="1" applyFont="1" applyFill="1" applyAlignment="1" applyProtection="1">
      <alignment horizontal="center"/>
    </xf>
    <xf numFmtId="167" fontId="22" fillId="4" borderId="0" xfId="0" applyNumberFormat="1" applyFont="1" applyFill="1" applyAlignment="1" applyProtection="1">
      <alignment horizontal="center"/>
    </xf>
    <xf numFmtId="0" fontId="5" fillId="0" borderId="0" xfId="0" applyFont="1"/>
    <xf numFmtId="9" fontId="0" fillId="0" borderId="0" xfId="0" applyNumberFormat="1"/>
    <xf numFmtId="194" fontId="0" fillId="0" borderId="0" xfId="0" applyNumberFormat="1"/>
    <xf numFmtId="3" fontId="0" fillId="0" borderId="0" xfId="0" applyNumberFormat="1"/>
    <xf numFmtId="3" fontId="0" fillId="6" borderId="25" xfId="0" applyNumberFormat="1" applyFill="1" applyBorder="1"/>
    <xf numFmtId="9" fontId="0" fillId="6" borderId="25" xfId="0" applyNumberFormat="1" applyFill="1" applyBorder="1"/>
    <xf numFmtId="0" fontId="5" fillId="0" borderId="26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10" fontId="0" fillId="0" borderId="0" xfId="0" applyNumberFormat="1"/>
    <xf numFmtId="1" fontId="5" fillId="0" borderId="0" xfId="0" applyNumberFormat="1" applyFont="1"/>
    <xf numFmtId="1" fontId="0" fillId="0" borderId="0" xfId="0" applyNumberFormat="1"/>
    <xf numFmtId="9" fontId="0" fillId="7" borderId="0" xfId="0" applyNumberFormat="1" applyFill="1"/>
    <xf numFmtId="0" fontId="0" fillId="7" borderId="0" xfId="0" applyFill="1"/>
    <xf numFmtId="0" fontId="3" fillId="0" borderId="0" xfId="0" applyFont="1" applyAlignment="1">
      <alignment wrapText="1"/>
    </xf>
    <xf numFmtId="0" fontId="3" fillId="0" borderId="29" xfId="0" applyFont="1" applyBorder="1" applyAlignment="1">
      <alignment wrapText="1"/>
    </xf>
    <xf numFmtId="0" fontId="3" fillId="0" borderId="30" xfId="0" applyFont="1" applyBorder="1" applyAlignment="1">
      <alignment wrapText="1"/>
    </xf>
    <xf numFmtId="0" fontId="3" fillId="0" borderId="31" xfId="0" applyFont="1" applyBorder="1" applyAlignment="1">
      <alignment wrapText="1"/>
    </xf>
    <xf numFmtId="0" fontId="0" fillId="0" borderId="0" xfId="0" applyAlignment="1">
      <alignment wrapText="1"/>
    </xf>
    <xf numFmtId="1" fontId="0" fillId="0" borderId="0" xfId="0" applyNumberFormat="1" applyFill="1" applyBorder="1"/>
    <xf numFmtId="187" fontId="0" fillId="7" borderId="0" xfId="0" applyNumberFormat="1" applyFill="1"/>
    <xf numFmtId="194" fontId="5" fillId="4" borderId="0" xfId="4" applyNumberFormat="1" applyFont="1" applyFill="1" applyAlignment="1" applyProtection="1">
      <alignment horizontal="center" vertical="center" wrapText="1"/>
    </xf>
    <xf numFmtId="0" fontId="5" fillId="4" borderId="0" xfId="0" applyFont="1" applyFill="1" applyAlignment="1" applyProtection="1">
      <alignment horizontal="center"/>
    </xf>
    <xf numFmtId="0" fontId="5" fillId="4" borderId="0" xfId="0" applyFont="1" applyFill="1" applyBorder="1" applyAlignment="1" applyProtection="1">
      <alignment horizontal="center"/>
    </xf>
    <xf numFmtId="194" fontId="0" fillId="8" borderId="0" xfId="0" applyNumberFormat="1" applyFill="1" applyBorder="1"/>
    <xf numFmtId="218" fontId="0" fillId="0" borderId="0" xfId="1" applyNumberFormat="1" applyFont="1"/>
    <xf numFmtId="0" fontId="5" fillId="0" borderId="0" xfId="0" quotePrefix="1" applyFont="1"/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9">
    <dxf>
      <font>
        <condense val="0"/>
        <extend val="0"/>
        <color indexed="63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b/>
        <i val="0"/>
        <condense val="0"/>
        <extend val="0"/>
        <color auto="1"/>
      </font>
      <fill>
        <patternFill patternType="gray0625">
          <bgColor indexed="9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63"/>
      </font>
      <fill>
        <patternFill>
          <bgColor indexed="6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C348C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'Help to Buy Gov Equity Solver'!$W$21</c:f>
              <c:strCache>
                <c:ptCount val="1"/>
                <c:pt idx="0">
                  <c:v>50000</c:v>
                </c:pt>
              </c:strCache>
            </c:strRef>
          </c:tx>
          <c:trendline>
            <c:trendlineType val="linear"/>
            <c:forward val="25"/>
            <c:backward val="25"/>
            <c:dispRSqr val="0"/>
            <c:dispEq val="1"/>
            <c:trendlineLbl>
              <c:layout>
                <c:manualLayout>
                  <c:x val="-5.4696233613899005E-2"/>
                  <c:y val="0.27545215180564808"/>
                </c:manualLayout>
              </c:layout>
              <c:tx>
                <c:rich>
                  <a:bodyPr/>
                  <a:lstStyle/>
                  <a:p>
                    <a:pPr>
                      <a:defRPr b="1">
                        <a:solidFill>
                          <a:schemeClr val="accent1"/>
                        </a:solidFill>
                      </a:defRPr>
                    </a:pPr>
                    <a:r>
                      <a:rPr lang="en-US" b="1" baseline="0">
                        <a:solidFill>
                          <a:schemeClr val="accent1"/>
                        </a:solidFill>
                      </a:rPr>
                      <a:t>y = 6.3685x + 53.531</a:t>
                    </a:r>
                    <a:endParaRPr lang="en-US" b="1">
                      <a:solidFill>
                        <a:schemeClr val="accent1"/>
                      </a:solidFill>
                    </a:endParaRPr>
                  </a:p>
                </c:rich>
              </c:tx>
              <c:numFmt formatCode="General" sourceLinked="0"/>
            </c:trendlineLbl>
          </c:trendline>
          <c:xVal>
            <c:numRef>
              <c:f>'Help to Buy Gov Equity Solver'!$X$21:$X$32</c:f>
              <c:numCache>
                <c:formatCode>General</c:formatCode>
                <c:ptCount val="12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</c:numCache>
            </c:numRef>
          </c:xVal>
          <c:yVal>
            <c:numRef>
              <c:f>'Help to Buy Gov Equity Solver'!$Y$21:$Y$32</c:f>
              <c:numCache>
                <c:formatCode>General</c:formatCode>
                <c:ptCount val="12"/>
                <c:pt idx="0">
                  <c:v>340</c:v>
                </c:pt>
                <c:pt idx="1">
                  <c:v>371</c:v>
                </c:pt>
                <c:pt idx="2">
                  <c:v>408</c:v>
                </c:pt>
                <c:pt idx="3">
                  <c:v>439</c:v>
                </c:pt>
                <c:pt idx="4">
                  <c:v>469</c:v>
                </c:pt>
                <c:pt idx="5">
                  <c:v>501</c:v>
                </c:pt>
                <c:pt idx="6">
                  <c:v>524</c:v>
                </c:pt>
                <c:pt idx="7">
                  <c:v>556</c:v>
                </c:pt>
                <c:pt idx="8">
                  <c:v>591</c:v>
                </c:pt>
                <c:pt idx="9">
                  <c:v>626</c:v>
                </c:pt>
                <c:pt idx="10">
                  <c:v>661</c:v>
                </c:pt>
                <c:pt idx="11">
                  <c:v>697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'Help to Buy Gov Equity Solver'!$W$33</c:f>
              <c:strCache>
                <c:ptCount val="1"/>
                <c:pt idx="0">
                  <c:v>70000</c:v>
                </c:pt>
              </c:strCache>
            </c:strRef>
          </c:tx>
          <c:trendline>
            <c:trendlineType val="linear"/>
            <c:forward val="25"/>
            <c:backward val="25"/>
            <c:dispRSqr val="0"/>
            <c:dispEq val="1"/>
            <c:trendlineLbl>
              <c:layout>
                <c:manualLayout>
                  <c:x val="-0.25013176509750618"/>
                  <c:y val="5.9560131814387011E-2"/>
                </c:manualLayout>
              </c:layout>
              <c:tx>
                <c:rich>
                  <a:bodyPr/>
                  <a:lstStyle/>
                  <a:p>
                    <a:pPr>
                      <a:defRPr b="1">
                        <a:solidFill>
                          <a:schemeClr val="accent2"/>
                        </a:solidFill>
                      </a:defRPr>
                    </a:pPr>
                    <a:r>
                      <a:rPr lang="en-US" b="1" baseline="0">
                        <a:solidFill>
                          <a:schemeClr val="accent2"/>
                        </a:solidFill>
                      </a:rPr>
                      <a:t>y = 6.3345x + 80.818</a:t>
                    </a:r>
                    <a:endParaRPr lang="en-US" b="1">
                      <a:solidFill>
                        <a:schemeClr val="accent2"/>
                      </a:solidFill>
                    </a:endParaRPr>
                  </a:p>
                </c:rich>
              </c:tx>
              <c:numFmt formatCode="General" sourceLinked="0"/>
            </c:trendlineLbl>
          </c:trendline>
          <c:xVal>
            <c:numRef>
              <c:f>'Help to Buy Gov Equity Solver'!$X$33:$X$42</c:f>
              <c:numCache>
                <c:formatCode>General</c:formatCode>
                <c:ptCount val="10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</c:numCache>
            </c:numRef>
          </c:xVal>
          <c:yVal>
            <c:numRef>
              <c:f>'Help to Buy Gov Equity Solver'!$Y$33:$Y$42</c:f>
              <c:numCache>
                <c:formatCode>General</c:formatCode>
                <c:ptCount val="10"/>
                <c:pt idx="0">
                  <c:v>368</c:v>
                </c:pt>
                <c:pt idx="1">
                  <c:v>398</c:v>
                </c:pt>
                <c:pt idx="2">
                  <c:v>429</c:v>
                </c:pt>
                <c:pt idx="3">
                  <c:v>461</c:v>
                </c:pt>
                <c:pt idx="4">
                  <c:v>491</c:v>
                </c:pt>
                <c:pt idx="5">
                  <c:v>517</c:v>
                </c:pt>
                <c:pt idx="6">
                  <c:v>564</c:v>
                </c:pt>
                <c:pt idx="7">
                  <c:v>583</c:v>
                </c:pt>
                <c:pt idx="8">
                  <c:v>619</c:v>
                </c:pt>
                <c:pt idx="9">
                  <c:v>654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403200"/>
        <c:axId val="202401280"/>
      </c:scatterChart>
      <c:valAx>
        <c:axId val="202403200"/>
        <c:scaling>
          <c:orientation val="minMax"/>
          <c:max val="100"/>
          <c:min val="35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202401280"/>
        <c:crosses val="autoZero"/>
        <c:crossBetween val="midCat"/>
      </c:valAx>
      <c:valAx>
        <c:axId val="202401280"/>
        <c:scaling>
          <c:orientation val="minMax"/>
          <c:max val="750"/>
          <c:min val="100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crossAx val="20240320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41366</xdr:colOff>
      <xdr:row>38</xdr:row>
      <xdr:rowOff>83882</xdr:rowOff>
    </xdr:from>
    <xdr:to>
      <xdr:col>9</xdr:col>
      <xdr:colOff>220204</xdr:colOff>
      <xdr:row>39</xdr:row>
      <xdr:rowOff>194155</xdr:rowOff>
    </xdr:to>
    <xdr:sp macro="[0]!resetclear" textlink="">
      <xdr:nvSpPr>
        <xdr:cNvPr id="1053" name="Text Box 29"/>
        <xdr:cNvSpPr txBox="1">
          <a:spLocks noChangeArrowheads="1"/>
        </xdr:cNvSpPr>
      </xdr:nvSpPr>
      <xdr:spPr bwMode="auto">
        <a:xfrm>
          <a:off x="3240982" y="7950411"/>
          <a:ext cx="3002456" cy="330735"/>
        </a:xfrm>
        <a:prstGeom prst="roundRect">
          <a:avLst/>
        </a:prstGeom>
        <a:solidFill>
          <a:srgbClr val="009999"/>
        </a:solidFill>
        <a:ln w="9525">
          <a:solidFill>
            <a:schemeClr val="tx1"/>
          </a:solidFill>
          <a:miter lim="800000"/>
          <a:headEnd/>
          <a:tailEnd/>
        </a:ln>
      </xdr:spPr>
      <xdr:txBody>
        <a:bodyPr vertOverflow="clip" wrap="square" lIns="45720" tIns="41148" rIns="45720" bIns="41148" anchor="ctr" upright="1"/>
        <a:lstStyle/>
        <a:p>
          <a:pPr algn="ctr" rtl="0">
            <a:defRPr sz="1000"/>
          </a:pPr>
          <a:r>
            <a:rPr lang="en-GB" sz="2000" b="1" i="0" u="none" strike="noStrike" baseline="0">
              <a:solidFill>
                <a:schemeClr val="bg1"/>
              </a:solidFill>
              <a:latin typeface="Arial"/>
              <a:cs typeface="Arial"/>
            </a:rPr>
            <a:t>reset form</a:t>
          </a:r>
        </a:p>
      </xdr:txBody>
    </xdr:sp>
    <xdr:clientData fLocksWithSheet="0"/>
  </xdr:twoCellAnchor>
  <xdr:twoCellAnchor editAs="absolute">
    <xdr:from>
      <xdr:col>2</xdr:col>
      <xdr:colOff>104775</xdr:colOff>
      <xdr:row>0</xdr:row>
      <xdr:rowOff>57150</xdr:rowOff>
    </xdr:from>
    <xdr:to>
      <xdr:col>4</xdr:col>
      <xdr:colOff>104775</xdr:colOff>
      <xdr:row>3</xdr:row>
      <xdr:rowOff>200025</xdr:rowOff>
    </xdr:to>
    <xdr:pic>
      <xdr:nvPicPr>
        <xdr:cNvPr id="1495" name="Picture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57150"/>
          <a:ext cx="1162050" cy="923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28575</xdr:colOff>
      <xdr:row>0</xdr:row>
      <xdr:rowOff>66675</xdr:rowOff>
    </xdr:from>
    <xdr:to>
      <xdr:col>5</xdr:col>
      <xdr:colOff>247650</xdr:colOff>
      <xdr:row>3</xdr:row>
      <xdr:rowOff>161925</xdr:rowOff>
    </xdr:to>
    <xdr:pic>
      <xdr:nvPicPr>
        <xdr:cNvPr id="1496" name="Picture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0" y="66675"/>
          <a:ext cx="876300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568491</xdr:colOff>
      <xdr:row>38</xdr:row>
      <xdr:rowOff>83882</xdr:rowOff>
    </xdr:from>
    <xdr:to>
      <xdr:col>12</xdr:col>
      <xdr:colOff>468866</xdr:colOff>
      <xdr:row>39</xdr:row>
      <xdr:rowOff>194155</xdr:rowOff>
    </xdr:to>
    <xdr:sp macro="[0]!printout" textlink="">
      <xdr:nvSpPr>
        <xdr:cNvPr id="6" name="Text Box 29"/>
        <xdr:cNvSpPr txBox="1">
          <a:spLocks noChangeArrowheads="1"/>
        </xdr:cNvSpPr>
      </xdr:nvSpPr>
      <xdr:spPr bwMode="auto">
        <a:xfrm>
          <a:off x="6288982" y="7950411"/>
          <a:ext cx="2711103" cy="330735"/>
        </a:xfrm>
        <a:prstGeom prst="roundRect">
          <a:avLst/>
        </a:prstGeom>
        <a:solidFill>
          <a:srgbClr val="009999"/>
        </a:solidFill>
        <a:ln w="9525">
          <a:solidFill>
            <a:schemeClr val="tx1"/>
          </a:solidFill>
          <a:miter lim="800000"/>
          <a:headEnd/>
          <a:tailEnd/>
        </a:ln>
      </xdr:spPr>
      <xdr:txBody>
        <a:bodyPr vertOverflow="clip" wrap="square" lIns="45720" tIns="41148" rIns="45720" bIns="41148" anchor="ctr" upright="1"/>
        <a:lstStyle/>
        <a:p>
          <a:pPr algn="ctr" rtl="0">
            <a:defRPr sz="1000"/>
          </a:pPr>
          <a:r>
            <a:rPr lang="en-GB" sz="2000" b="1" i="0" u="none" strike="noStrike" baseline="0">
              <a:solidFill>
                <a:schemeClr val="bg1"/>
              </a:solidFill>
              <a:latin typeface="Arial"/>
              <a:cs typeface="Arial"/>
            </a:rPr>
            <a:t>print form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414336</xdr:colOff>
      <xdr:row>19</xdr:row>
      <xdr:rowOff>71437</xdr:rowOff>
    </xdr:from>
    <xdr:to>
      <xdr:col>33</xdr:col>
      <xdr:colOff>476249</xdr:colOff>
      <xdr:row>39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ca.local\wa\IR\Intermediate%20Markets\8.%20LCHO\Affordability%20calculator\new%20calculators%20Oct%202010\amended%202011%20April\V.3\Swaythling%20AFHOS%20IQF%2015.3.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FHOS affordability calculator"/>
    </sheetNames>
    <sheetDataSet>
      <sheetData sheetId="0">
        <row r="3">
          <cell r="A3" t="str">
            <v>Blue Forces</v>
          </cell>
          <cell r="B3" t="str">
            <v>Kate Williams  katew@swayhs.org.uk</v>
          </cell>
        </row>
        <row r="4">
          <cell r="A4" t="str">
            <v>Abacus</v>
          </cell>
          <cell r="B4" t="str">
            <v>Tim Willcocks  timw@swayhs.org.uk</v>
          </cell>
        </row>
        <row r="5">
          <cell r="A5" t="str">
            <v>Stone Financial</v>
          </cell>
        </row>
        <row r="6">
          <cell r="A6" t="str">
            <v>Pearson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L86"/>
  <sheetViews>
    <sheetView topLeftCell="A15" zoomScale="80" zoomScaleNormal="80" zoomScaleSheetLayoutView="100" workbookViewId="0">
      <selection activeCell="N27" sqref="N27"/>
    </sheetView>
  </sheetViews>
  <sheetFormatPr defaultRowHeight="16.5" customHeight="1" outlineLevelRow="1" x14ac:dyDescent="0.2"/>
  <cols>
    <col min="1" max="1" width="5.28515625" style="1" customWidth="1"/>
    <col min="2" max="2" width="6.5703125" style="1" customWidth="1"/>
    <col min="3" max="3" width="4.28515625" style="1" customWidth="1"/>
    <col min="4" max="4" width="13.140625" style="1" customWidth="1"/>
    <col min="5" max="6" width="9.85546875" style="1" customWidth="1"/>
    <col min="7" max="7" width="13.28515625" style="1" customWidth="1"/>
    <col min="8" max="8" width="20" style="2" customWidth="1"/>
    <col min="9" max="9" width="13.42578125" style="1" customWidth="1"/>
    <col min="10" max="10" width="12.28515625" style="1" customWidth="1"/>
    <col min="11" max="11" width="13.7109375" style="1" customWidth="1"/>
    <col min="12" max="12" width="16.140625" style="1" customWidth="1"/>
    <col min="13" max="13" width="23.42578125" style="1" customWidth="1"/>
    <col min="14" max="14" width="15.42578125" style="1" customWidth="1"/>
    <col min="15" max="15" width="16.28515625" style="1" customWidth="1"/>
    <col min="16" max="16" width="9.28515625" style="1" customWidth="1"/>
    <col min="17" max="17" width="9.140625" style="3"/>
    <col min="18" max="18" width="11.140625" style="35" bestFit="1" customWidth="1"/>
    <col min="19" max="19" width="12.140625" style="35" customWidth="1"/>
    <col min="20" max="38" width="9.140625" style="3"/>
    <col min="39" max="16384" width="9.140625" style="1"/>
  </cols>
  <sheetData>
    <row r="1" spans="1:38" ht="16.5" customHeight="1" thickBot="1" x14ac:dyDescent="0.25">
      <c r="A1" s="34"/>
      <c r="B1" s="79"/>
      <c r="C1" s="79"/>
      <c r="D1" s="79"/>
      <c r="E1" s="79"/>
      <c r="F1" s="79"/>
      <c r="G1" s="34"/>
      <c r="H1" s="34"/>
      <c r="I1" s="34"/>
      <c r="J1" s="34"/>
      <c r="K1" s="34"/>
      <c r="L1" s="34"/>
      <c r="M1" s="34"/>
      <c r="N1" s="34"/>
      <c r="O1" s="34"/>
      <c r="P1" s="34"/>
      <c r="Q1" s="35"/>
    </row>
    <row r="2" spans="1:38" ht="16.5" customHeight="1" x14ac:dyDescent="0.2">
      <c r="A2" s="34"/>
      <c r="B2" s="136"/>
      <c r="C2" s="136"/>
      <c r="D2" s="136"/>
      <c r="E2" s="136"/>
      <c r="F2" s="136"/>
      <c r="G2" s="202"/>
      <c r="H2" s="203"/>
      <c r="I2" s="203"/>
      <c r="J2" s="204"/>
      <c r="K2" s="95"/>
      <c r="L2" s="96"/>
      <c r="M2" s="96"/>
      <c r="N2" s="96"/>
      <c r="O2" s="76"/>
      <c r="P2" s="36"/>
      <c r="Q2" s="35"/>
    </row>
    <row r="3" spans="1:38" ht="28.5" customHeight="1" thickBot="1" x14ac:dyDescent="0.25">
      <c r="A3" s="34"/>
      <c r="B3" s="136"/>
      <c r="C3" s="136"/>
      <c r="D3" s="136"/>
      <c r="E3" s="136"/>
      <c r="F3" s="136"/>
      <c r="G3" s="205"/>
      <c r="H3" s="206"/>
      <c r="I3" s="206"/>
      <c r="J3" s="207"/>
      <c r="K3" s="216" t="s">
        <v>59</v>
      </c>
      <c r="L3" s="217"/>
      <c r="M3" s="217"/>
      <c r="N3" s="217"/>
      <c r="O3" s="198"/>
      <c r="P3" s="36"/>
      <c r="Q3" s="35"/>
    </row>
    <row r="4" spans="1:38" s="3" customFormat="1" ht="16.5" customHeight="1" thickBot="1" x14ac:dyDescent="0.25">
      <c r="A4" s="35"/>
      <c r="B4" s="35"/>
      <c r="C4" s="35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37"/>
      <c r="Q4" s="35"/>
      <c r="R4" s="35"/>
      <c r="S4" s="35"/>
    </row>
    <row r="5" spans="1:38" s="4" customFormat="1" ht="16.5" customHeight="1" thickBot="1" x14ac:dyDescent="0.25">
      <c r="A5" s="44"/>
      <c r="B5" s="218" t="s">
        <v>15</v>
      </c>
      <c r="C5" s="80"/>
      <c r="D5" s="199" t="s">
        <v>0</v>
      </c>
      <c r="E5" s="200"/>
      <c r="F5" s="201"/>
      <c r="G5" s="199" t="s">
        <v>1</v>
      </c>
      <c r="H5" s="200"/>
      <c r="I5" s="200"/>
      <c r="J5" s="201"/>
      <c r="K5" s="9" t="s">
        <v>11</v>
      </c>
      <c r="L5" s="9" t="s">
        <v>2</v>
      </c>
      <c r="M5" s="221" t="s">
        <v>24</v>
      </c>
      <c r="N5" s="222"/>
      <c r="O5" s="44"/>
      <c r="P5" s="38"/>
      <c r="Q5" s="38"/>
      <c r="R5" s="38"/>
      <c r="S5" s="38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</row>
    <row r="6" spans="1:38" ht="16.5" customHeight="1" thickBot="1" x14ac:dyDescent="0.25">
      <c r="A6" s="34"/>
      <c r="B6" s="219"/>
      <c r="C6" s="80"/>
      <c r="D6" s="211"/>
      <c r="E6" s="209"/>
      <c r="F6" s="210"/>
      <c r="G6" s="208"/>
      <c r="H6" s="209"/>
      <c r="I6" s="209"/>
      <c r="J6" s="210"/>
      <c r="K6" s="10"/>
      <c r="L6" s="17" t="str">
        <f ca="1">IF(AND(K6&lt;&gt;"",MONTH(TODAY())&gt;MONTH(K6),DAY(TODAY()&gt;DAY(K6))),YEAR(TODAY())-YEAR(K6)+1,IF(K6&lt;&gt;"",YEAR(TODAY())-YEAR(K6),""))</f>
        <v/>
      </c>
      <c r="M6" s="212"/>
      <c r="N6" s="213"/>
      <c r="O6" s="34"/>
      <c r="P6" s="35"/>
      <c r="Q6" s="35"/>
      <c r="AL6" s="1"/>
    </row>
    <row r="7" spans="1:38" ht="16.5" customHeight="1" thickBot="1" x14ac:dyDescent="0.25">
      <c r="A7" s="34"/>
      <c r="B7" s="219"/>
      <c r="C7" s="80"/>
      <c r="D7" s="208"/>
      <c r="E7" s="209"/>
      <c r="F7" s="210"/>
      <c r="G7" s="208"/>
      <c r="H7" s="209"/>
      <c r="I7" s="209"/>
      <c r="J7" s="210"/>
      <c r="K7" s="11"/>
      <c r="L7" s="17" t="str">
        <f ca="1">IF(AND(K7&lt;&gt;"",MONTH(TODAY())&gt;MONTH(K7),DAY(TODAY()&gt;DAY(K7))),YEAR(TODAY())-YEAR(K7)+1,IF(K7&lt;&gt;"",YEAR(TODAY())-YEAR(K7),""))</f>
        <v/>
      </c>
      <c r="M7" s="214"/>
      <c r="N7" s="215"/>
      <c r="O7" s="34"/>
      <c r="P7" s="35"/>
      <c r="Q7" s="35"/>
      <c r="AL7" s="1"/>
    </row>
    <row r="8" spans="1:38" ht="16.5" customHeight="1" thickBot="1" x14ac:dyDescent="0.25">
      <c r="A8" s="34"/>
      <c r="B8" s="219"/>
      <c r="C8" s="80"/>
      <c r="D8" s="12" t="s">
        <v>19</v>
      </c>
      <c r="E8" s="208"/>
      <c r="F8" s="209"/>
      <c r="G8" s="209"/>
      <c r="H8" s="209"/>
      <c r="I8" s="209"/>
      <c r="J8" s="209"/>
      <c r="K8" s="209"/>
      <c r="L8" s="209"/>
      <c r="M8" s="209"/>
      <c r="N8" s="210"/>
      <c r="O8" s="34"/>
      <c r="P8" s="35"/>
      <c r="Q8" s="35"/>
      <c r="AL8" s="1"/>
    </row>
    <row r="9" spans="1:38" ht="16.5" customHeight="1" thickBot="1" x14ac:dyDescent="0.25">
      <c r="A9" s="34"/>
      <c r="B9" s="220"/>
      <c r="C9" s="80"/>
      <c r="D9" s="12" t="s">
        <v>20</v>
      </c>
      <c r="E9" s="208"/>
      <c r="F9" s="209"/>
      <c r="G9" s="209"/>
      <c r="H9" s="210"/>
      <c r="I9" s="12" t="s">
        <v>21</v>
      </c>
      <c r="J9" s="241"/>
      <c r="K9" s="242"/>
      <c r="L9" s="242"/>
      <c r="M9" s="242"/>
      <c r="N9" s="243"/>
      <c r="O9" s="34"/>
      <c r="P9" s="35"/>
      <c r="Q9" s="35"/>
      <c r="AL9" s="1"/>
    </row>
    <row r="10" spans="1:38" ht="16.5" customHeight="1" thickBot="1" x14ac:dyDescent="0.25">
      <c r="A10" s="34"/>
      <c r="B10" s="15"/>
      <c r="C10" s="34"/>
      <c r="D10" s="38"/>
      <c r="E10" s="38"/>
      <c r="F10" s="38"/>
      <c r="G10" s="38"/>
      <c r="H10" s="71"/>
      <c r="I10" s="87"/>
      <c r="J10" s="87"/>
      <c r="K10" s="87"/>
      <c r="L10" s="87"/>
      <c r="M10" s="89"/>
      <c r="N10" s="89"/>
      <c r="O10" s="78"/>
      <c r="P10" s="34"/>
      <c r="Q10" s="35"/>
    </row>
    <row r="11" spans="1:38" ht="16.5" customHeight="1" thickBot="1" x14ac:dyDescent="0.25">
      <c r="A11" s="34"/>
      <c r="B11" s="225" t="s">
        <v>28</v>
      </c>
      <c r="C11" s="34"/>
      <c r="D11" s="97" t="s">
        <v>25</v>
      </c>
      <c r="E11" s="101"/>
      <c r="F11" s="101"/>
      <c r="G11" s="101"/>
      <c r="H11" s="104"/>
      <c r="I11" s="245"/>
      <c r="J11" s="246"/>
      <c r="K11" s="246"/>
      <c r="L11" s="246"/>
      <c r="M11" s="246"/>
      <c r="N11" s="247"/>
      <c r="O11" s="78"/>
      <c r="P11" s="34"/>
      <c r="Q11" s="35"/>
    </row>
    <row r="12" spans="1:38" ht="16.5" customHeight="1" thickBot="1" x14ac:dyDescent="0.25">
      <c r="A12" s="34"/>
      <c r="B12" s="226"/>
      <c r="C12" s="34"/>
      <c r="D12" s="98" t="s">
        <v>26</v>
      </c>
      <c r="E12" s="38"/>
      <c r="F12" s="38"/>
      <c r="G12" s="38"/>
      <c r="H12" s="105"/>
      <c r="I12" s="18">
        <v>340000</v>
      </c>
      <c r="J12" s="249">
        <v>5.0000000000000001E-3</v>
      </c>
      <c r="K12" s="88">
        <f>J12*I12</f>
        <v>1700</v>
      </c>
      <c r="L12" s="88">
        <f>K12/12</f>
        <v>141.66666666666666</v>
      </c>
      <c r="M12" s="89"/>
      <c r="N12" s="137"/>
      <c r="O12" s="78"/>
      <c r="P12" s="34"/>
      <c r="Q12" s="35"/>
    </row>
    <row r="13" spans="1:38" ht="16.5" customHeight="1" thickBot="1" x14ac:dyDescent="0.25">
      <c r="A13" s="34"/>
      <c r="B13" s="227"/>
      <c r="C13" s="34"/>
      <c r="D13" s="84" t="s">
        <v>27</v>
      </c>
      <c r="E13" s="85"/>
      <c r="F13" s="85"/>
      <c r="G13" s="85"/>
      <c r="H13" s="86"/>
      <c r="I13" s="19"/>
      <c r="J13" s="87"/>
      <c r="K13" s="88"/>
      <c r="L13" s="132"/>
      <c r="M13" s="133"/>
      <c r="N13" s="138"/>
      <c r="O13" s="78"/>
      <c r="P13" s="34"/>
      <c r="Q13" s="35"/>
    </row>
    <row r="14" spans="1:38" ht="16.5" customHeight="1" thickBot="1" x14ac:dyDescent="0.25">
      <c r="A14" s="34"/>
      <c r="B14" s="15"/>
      <c r="C14" s="34"/>
      <c r="D14" s="88"/>
      <c r="E14" s="38"/>
      <c r="F14" s="38"/>
      <c r="G14" s="38"/>
      <c r="H14" s="71"/>
      <c r="I14" s="90"/>
      <c r="J14" s="87"/>
      <c r="K14" s="91"/>
      <c r="L14" s="108"/>
      <c r="M14" s="109"/>
      <c r="N14" s="90"/>
      <c r="O14" s="78"/>
      <c r="P14" s="34"/>
      <c r="Q14" s="35"/>
    </row>
    <row r="15" spans="1:38" ht="16.5" customHeight="1" thickBot="1" x14ac:dyDescent="0.25">
      <c r="A15" s="34"/>
      <c r="B15" s="157" t="s">
        <v>55</v>
      </c>
      <c r="C15" s="80"/>
      <c r="D15" s="97" t="s">
        <v>22</v>
      </c>
      <c r="E15" s="101"/>
      <c r="F15" s="101"/>
      <c r="G15" s="101"/>
      <c r="H15" s="102"/>
      <c r="I15" s="13">
        <v>45000</v>
      </c>
      <c r="J15" s="34"/>
      <c r="K15" s="218" t="s">
        <v>18</v>
      </c>
      <c r="L15" s="164" t="s">
        <v>57</v>
      </c>
      <c r="M15" s="165"/>
      <c r="N15" s="163"/>
      <c r="O15" s="78"/>
      <c r="P15" s="34"/>
      <c r="Q15" s="35"/>
    </row>
    <row r="16" spans="1:38" ht="16.5" customHeight="1" thickBot="1" x14ac:dyDescent="0.25">
      <c r="A16" s="34"/>
      <c r="B16" s="158"/>
      <c r="C16" s="80"/>
      <c r="D16" s="98" t="s">
        <v>4</v>
      </c>
      <c r="E16" s="38"/>
      <c r="F16" s="38"/>
      <c r="G16" s="38"/>
      <c r="H16" s="103"/>
      <c r="I16" s="13">
        <v>0</v>
      </c>
      <c r="J16" s="34"/>
      <c r="K16" s="244"/>
      <c r="L16" s="166"/>
      <c r="M16" s="167" t="s">
        <v>5</v>
      </c>
      <c r="N16" s="134"/>
      <c r="O16" s="78"/>
      <c r="P16" s="34"/>
      <c r="Q16" s="35"/>
    </row>
    <row r="17" spans="1:27" ht="16.5" customHeight="1" thickBot="1" x14ac:dyDescent="0.25">
      <c r="A17" s="34"/>
      <c r="B17" s="158"/>
      <c r="C17" s="80"/>
      <c r="D17" s="173" t="s">
        <v>58</v>
      </c>
      <c r="E17" s="35"/>
      <c r="F17" s="35"/>
      <c r="G17" s="35"/>
      <c r="H17" s="103"/>
      <c r="I17" s="180">
        <v>0</v>
      </c>
      <c r="J17" s="92"/>
      <c r="K17" s="244"/>
      <c r="L17" s="168"/>
      <c r="M17" s="169" t="s">
        <v>6</v>
      </c>
      <c r="N17" s="134"/>
      <c r="O17" s="78"/>
      <c r="P17" s="34"/>
      <c r="Q17" s="35"/>
    </row>
    <row r="18" spans="1:27" ht="16.5" customHeight="1" thickBot="1" x14ac:dyDescent="0.25">
      <c r="A18" s="34"/>
      <c r="B18" s="158"/>
      <c r="C18" s="80"/>
      <c r="D18" s="173" t="s">
        <v>56</v>
      </c>
      <c r="E18" s="35"/>
      <c r="F18" s="35"/>
      <c r="G18" s="35"/>
      <c r="H18" s="103"/>
      <c r="I18" s="180">
        <v>75</v>
      </c>
      <c r="J18" s="92"/>
      <c r="K18" s="244"/>
      <c r="L18" s="168"/>
      <c r="M18" s="169" t="s">
        <v>7</v>
      </c>
      <c r="N18" s="134"/>
      <c r="O18" s="78"/>
      <c r="P18" s="34"/>
      <c r="Q18" s="35"/>
    </row>
    <row r="19" spans="1:27" ht="16.5" customHeight="1" thickBot="1" x14ac:dyDescent="0.25">
      <c r="A19" s="34"/>
      <c r="B19" s="158"/>
      <c r="C19" s="80"/>
      <c r="D19" s="98" t="s">
        <v>23</v>
      </c>
      <c r="E19" s="35"/>
      <c r="F19" s="35"/>
      <c r="G19" s="35"/>
      <c r="H19" s="103"/>
      <c r="I19" s="13"/>
      <c r="J19" s="92"/>
      <c r="K19" s="244"/>
      <c r="L19" s="168"/>
      <c r="M19" s="169" t="s">
        <v>9</v>
      </c>
      <c r="N19" s="134"/>
      <c r="O19" s="78"/>
      <c r="P19" s="34"/>
      <c r="Q19" s="35"/>
    </row>
    <row r="20" spans="1:27" ht="16.5" customHeight="1" thickBot="1" x14ac:dyDescent="0.25">
      <c r="A20" s="34"/>
      <c r="B20" s="158"/>
      <c r="C20" s="80"/>
      <c r="D20" s="98" t="s">
        <v>4</v>
      </c>
      <c r="E20" s="35"/>
      <c r="F20" s="35"/>
      <c r="G20" s="35"/>
      <c r="H20" s="103"/>
      <c r="I20" s="13"/>
      <c r="J20" s="92"/>
      <c r="K20" s="244"/>
      <c r="L20" s="170"/>
      <c r="M20" s="169" t="s">
        <v>8</v>
      </c>
      <c r="N20" s="134"/>
      <c r="O20" s="78"/>
      <c r="P20" s="34"/>
      <c r="Q20" s="35"/>
    </row>
    <row r="21" spans="1:27" ht="16.5" customHeight="1" thickBot="1" x14ac:dyDescent="0.25">
      <c r="A21" s="34"/>
      <c r="B21" s="158"/>
      <c r="C21" s="80"/>
      <c r="D21" s="173" t="s">
        <v>58</v>
      </c>
      <c r="E21" s="174"/>
      <c r="F21" s="174"/>
      <c r="G21" s="174"/>
      <c r="H21" s="175"/>
      <c r="I21" s="180"/>
      <c r="J21" s="92"/>
      <c r="K21" s="244"/>
      <c r="L21" s="170"/>
      <c r="M21" s="169" t="s">
        <v>10</v>
      </c>
      <c r="N21" s="134"/>
      <c r="O21" s="78"/>
      <c r="P21" s="34"/>
      <c r="Q21" s="35"/>
    </row>
    <row r="22" spans="1:27" ht="16.5" customHeight="1" thickBot="1" x14ac:dyDescent="0.3">
      <c r="A22" s="34"/>
      <c r="B22" s="158"/>
      <c r="C22" s="80"/>
      <c r="D22" s="173" t="s">
        <v>56</v>
      </c>
      <c r="E22" s="174"/>
      <c r="F22" s="174"/>
      <c r="G22" s="174"/>
      <c r="H22" s="175"/>
      <c r="I22" s="176"/>
      <c r="J22" s="93"/>
      <c r="K22" s="244"/>
      <c r="L22" s="171"/>
      <c r="M22" s="172" t="s">
        <v>37</v>
      </c>
      <c r="N22" s="14">
        <f>N16+N19+N20+N21</f>
        <v>0</v>
      </c>
      <c r="O22" s="34"/>
      <c r="P22" s="34"/>
      <c r="Q22" s="35"/>
    </row>
    <row r="23" spans="1:27" ht="16.5" customHeight="1" thickBot="1" x14ac:dyDescent="0.25">
      <c r="A23" s="34"/>
      <c r="B23" s="158"/>
      <c r="C23" s="80"/>
      <c r="D23" s="100" t="s">
        <v>43</v>
      </c>
      <c r="E23" s="160"/>
      <c r="F23" s="160"/>
      <c r="G23" s="160"/>
      <c r="H23" s="161"/>
      <c r="I23" s="196">
        <f>SUM(I15,(I16*0.5),I19,(I20*0.5))</f>
        <v>45000</v>
      </c>
      <c r="J23" s="92"/>
      <c r="K23" s="162"/>
      <c r="L23" s="35"/>
      <c r="M23" s="35"/>
      <c r="N23" s="35"/>
      <c r="O23" s="34"/>
      <c r="P23" s="34"/>
      <c r="Q23" s="35"/>
    </row>
    <row r="24" spans="1:27" ht="16.5" customHeight="1" thickBot="1" x14ac:dyDescent="0.25">
      <c r="A24" s="34"/>
      <c r="B24" s="158"/>
      <c r="C24" s="34"/>
      <c r="D24" s="20" t="s">
        <v>32</v>
      </c>
      <c r="E24" s="26"/>
      <c r="F24" s="26"/>
      <c r="G24" s="26"/>
      <c r="H24" s="27"/>
      <c r="I24" s="14">
        <f>IF(I15-I17*12-I18*12+0.5*I16&lt;G45,(I15-I17*12-I18*12+0.5*I16)/12,IF(I15&lt;F45,((I15-I17*12-I18*12+(0.5*I16)-G45)*(1-I45)+G45-(K45*(I15-I17*12-I18*12+(0.5*I16)-L45)))/12,(((I15-I17*12-I18*12+(0.5*I16)-F45)*(1-J45))+((F45-G45)*(1-I45))+G45-(K45*(F45-L45))-(M45*(I15-I17*12-I18*12+(0.5*I16)-F45)))/12))+IF(I19-I21*12-I22*12+0.5*I20&lt;G45,(I19-I21*12-I22*12+0.5*I20)/12,IF(I19&lt;F45,((I19-I21*12-I22*12+(0.5*I20)-G45)*(1-I45)+G45-(K45*(I19-I21*12-I22*12+(0.5*I20)-L45)))/12,(((I19-I21*12-I22*12+(0.5*I20)-F45)*(1-J45))+((F45-G45)*(1-I45))+G45-(K45*(F45-L45))-(M45*(I19-I21*12-I22*12+(0.5*I20)-F45)))/12))</f>
        <v>2738.875</v>
      </c>
      <c r="J24" s="152"/>
      <c r="K24" s="162"/>
      <c r="L24" s="35"/>
      <c r="M24" s="35"/>
      <c r="N24" s="35"/>
      <c r="O24" s="35"/>
      <c r="P24" s="281" t="s">
        <v>86</v>
      </c>
      <c r="Q24" s="282" t="s">
        <v>72</v>
      </c>
    </row>
    <row r="25" spans="1:27" ht="16.5" customHeight="1" thickBot="1" x14ac:dyDescent="0.25">
      <c r="A25" s="34"/>
      <c r="B25" s="159"/>
      <c r="C25" s="34"/>
      <c r="D25" s="24" t="s">
        <v>41</v>
      </c>
      <c r="E25" s="31"/>
      <c r="F25" s="32"/>
      <c r="G25" s="32"/>
      <c r="H25" s="25"/>
      <c r="I25" s="21">
        <f>I23+(12*N22)</f>
        <v>45000</v>
      </c>
      <c r="J25" s="107"/>
      <c r="K25" s="162"/>
      <c r="L25" s="35"/>
      <c r="M25" s="35"/>
      <c r="N25" s="35"/>
      <c r="O25" s="34"/>
      <c r="P25" s="282">
        <v>0.25900000000000001</v>
      </c>
      <c r="Q25" s="282">
        <v>40000</v>
      </c>
    </row>
    <row r="26" spans="1:27" ht="16.5" customHeight="1" x14ac:dyDescent="0.25">
      <c r="A26" s="34"/>
      <c r="B26" s="83"/>
      <c r="C26" s="83"/>
      <c r="D26" s="83"/>
      <c r="E26" s="83"/>
      <c r="F26" s="83"/>
      <c r="G26" s="83"/>
      <c r="H26" s="83" t="s">
        <v>86</v>
      </c>
      <c r="I26" s="280">
        <f>1-I24*12/I23</f>
        <v>0.26963333333333328</v>
      </c>
      <c r="J26" s="197"/>
      <c r="K26" s="162"/>
      <c r="L26" s="43"/>
      <c r="M26" s="81"/>
      <c r="N26" s="82"/>
      <c r="O26" s="34"/>
      <c r="P26" s="281">
        <v>0.27</v>
      </c>
      <c r="Q26" s="282">
        <v>45000</v>
      </c>
      <c r="R26" s="39"/>
      <c r="S26" s="39"/>
      <c r="T26" s="54"/>
      <c r="U26" s="54"/>
      <c r="V26" s="56"/>
      <c r="X26" s="54"/>
      <c r="Z26" s="54"/>
      <c r="AA26" s="54"/>
    </row>
    <row r="27" spans="1:27" ht="16.5" customHeight="1" thickBot="1" x14ac:dyDescent="0.3">
      <c r="A27" s="34"/>
      <c r="B27" s="83"/>
      <c r="C27" s="34"/>
      <c r="D27" s="34"/>
      <c r="E27" s="34"/>
      <c r="F27" s="38"/>
      <c r="G27" s="38"/>
      <c r="H27" s="34"/>
      <c r="I27" s="34"/>
      <c r="J27" s="34"/>
      <c r="K27" s="43"/>
      <c r="L27" s="34"/>
      <c r="M27" s="34"/>
      <c r="N27" s="34"/>
      <c r="O27" s="34"/>
      <c r="P27" s="281">
        <v>0.28499999999999998</v>
      </c>
      <c r="Q27" s="282">
        <v>50000</v>
      </c>
      <c r="R27" s="39"/>
      <c r="S27" s="39"/>
      <c r="T27" s="54"/>
      <c r="U27" s="54"/>
      <c r="V27" s="56"/>
      <c r="X27" s="54"/>
      <c r="Z27" s="54"/>
      <c r="AA27" s="54"/>
    </row>
    <row r="28" spans="1:27" ht="16.5" customHeight="1" thickBot="1" x14ac:dyDescent="0.25">
      <c r="A28" s="34"/>
      <c r="B28" s="218" t="s">
        <v>16</v>
      </c>
      <c r="C28" s="34"/>
      <c r="D28" s="181" t="s">
        <v>30</v>
      </c>
      <c r="E28" s="182"/>
      <c r="F28" s="182"/>
      <c r="G28" s="182"/>
      <c r="H28" s="178"/>
      <c r="I28" s="183"/>
      <c r="J28" s="34"/>
      <c r="K28" s="225" t="s">
        <v>17</v>
      </c>
      <c r="L28" s="97" t="str">
        <f ca="1">"Mortgage term required (max "&amp;H46&amp;"):"</f>
        <v>Mortgage term required (max 40):</v>
      </c>
      <c r="M28" s="99"/>
      <c r="N28" s="135">
        <v>35</v>
      </c>
      <c r="O28" s="35"/>
      <c r="P28" s="281">
        <v>0.29699999999999999</v>
      </c>
      <c r="Q28" s="282">
        <v>55000</v>
      </c>
      <c r="X28" s="54"/>
      <c r="Z28" s="54"/>
      <c r="AA28" s="54"/>
    </row>
    <row r="29" spans="1:27" ht="16.5" customHeight="1" thickBot="1" x14ac:dyDescent="0.25">
      <c r="A29" s="34"/>
      <c r="B29" s="219"/>
      <c r="C29" s="34"/>
      <c r="D29" s="173" t="s">
        <v>31</v>
      </c>
      <c r="E29" s="184"/>
      <c r="F29" s="184"/>
      <c r="G29" s="184"/>
      <c r="H29" s="179"/>
      <c r="I29" s="176"/>
      <c r="J29" s="34"/>
      <c r="K29" s="230"/>
      <c r="L29" s="84" t="s">
        <v>3</v>
      </c>
      <c r="M29" s="85"/>
      <c r="N29" s="156">
        <v>4.8000000000000001E-2</v>
      </c>
      <c r="O29" s="35"/>
      <c r="P29" s="282">
        <v>0.307</v>
      </c>
      <c r="Q29" s="282">
        <v>60000</v>
      </c>
      <c r="X29" s="54"/>
      <c r="Z29" s="54"/>
      <c r="AA29" s="54"/>
    </row>
    <row r="30" spans="1:27" ht="16.5" customHeight="1" thickBot="1" x14ac:dyDescent="0.25">
      <c r="A30" s="34"/>
      <c r="B30" s="220"/>
      <c r="C30" s="34"/>
      <c r="D30" s="185" t="s">
        <v>33</v>
      </c>
      <c r="E30" s="186"/>
      <c r="F30" s="186"/>
      <c r="G30" s="186"/>
      <c r="H30" s="187"/>
      <c r="I30" s="188">
        <f>I28+(I29*0.03)</f>
        <v>0</v>
      </c>
      <c r="J30" s="34"/>
      <c r="K30" s="230"/>
      <c r="L30" s="97" t="str">
        <f>"Lender deposit requirement (£"&amp;N30*I12&amp;")"</f>
        <v>Lender deposit requirement (£17000)</v>
      </c>
      <c r="M30" s="106"/>
      <c r="N30" s="131">
        <v>0.05</v>
      </c>
      <c r="O30" s="35"/>
      <c r="P30" s="282">
        <v>0.316</v>
      </c>
      <c r="Q30" s="282">
        <v>65000</v>
      </c>
      <c r="X30" s="54"/>
      <c r="Z30" s="54"/>
      <c r="AA30" s="54"/>
    </row>
    <row r="31" spans="1:27" ht="16.5" customHeight="1" thickBot="1" x14ac:dyDescent="0.25">
      <c r="A31" s="34"/>
      <c r="B31" s="16"/>
      <c r="C31" s="34"/>
      <c r="D31" s="88"/>
      <c r="E31" s="94"/>
      <c r="F31" s="94"/>
      <c r="G31" s="94"/>
      <c r="H31" s="71"/>
      <c r="I31" s="82"/>
      <c r="J31" s="34"/>
      <c r="K31" s="231"/>
      <c r="L31" s="84" t="s">
        <v>42</v>
      </c>
      <c r="M31" s="129"/>
      <c r="N31" s="130">
        <v>50000</v>
      </c>
      <c r="O31" s="35"/>
      <c r="P31" s="34"/>
      <c r="Q31" s="35"/>
      <c r="R31" s="39"/>
      <c r="S31" s="39"/>
      <c r="T31" s="54"/>
      <c r="U31" s="54"/>
      <c r="V31" s="56"/>
      <c r="X31" s="54"/>
      <c r="Z31" s="54"/>
      <c r="AA31" s="54"/>
    </row>
    <row r="32" spans="1:27" ht="16.5" customHeight="1" thickBot="1" x14ac:dyDescent="0.25">
      <c r="A32" s="34"/>
      <c r="B32" s="235">
        <v>0.8</v>
      </c>
      <c r="C32" s="34"/>
      <c r="D32" s="177" t="s">
        <v>36</v>
      </c>
      <c r="E32" s="190"/>
      <c r="F32" s="190"/>
      <c r="G32" s="190"/>
      <c r="H32" s="178"/>
      <c r="I32" s="191">
        <v>275</v>
      </c>
      <c r="J32" s="34"/>
      <c r="K32" s="34"/>
      <c r="L32" s="34"/>
      <c r="M32" s="34"/>
      <c r="N32" s="34"/>
      <c r="O32" s="35"/>
      <c r="P32" s="34"/>
      <c r="Q32" s="35"/>
      <c r="S32" s="39"/>
      <c r="T32" s="54"/>
      <c r="U32" s="54"/>
      <c r="V32" s="56"/>
      <c r="X32" s="54"/>
      <c r="Z32" s="54"/>
      <c r="AA32" s="54"/>
    </row>
    <row r="33" spans="1:38" ht="16.5" customHeight="1" thickBot="1" x14ac:dyDescent="0.25">
      <c r="A33" s="34"/>
      <c r="B33" s="236"/>
      <c r="C33" s="34"/>
      <c r="D33" s="192" t="s">
        <v>35</v>
      </c>
      <c r="E33" s="193"/>
      <c r="F33" s="193"/>
      <c r="G33" s="193"/>
      <c r="H33" s="194"/>
      <c r="I33" s="195">
        <f>($F$47*((100%-B38)*I12))/12</f>
        <v>198.33333333333334</v>
      </c>
      <c r="J33" s="34"/>
      <c r="K33" s="34"/>
      <c r="L33" s="189"/>
      <c r="M33" s="139"/>
      <c r="N33" s="140"/>
      <c r="O33" s="35"/>
      <c r="P33" s="35"/>
      <c r="Q33" s="35"/>
      <c r="S33" s="39"/>
      <c r="T33" s="54"/>
      <c r="U33" s="54"/>
      <c r="V33" s="56"/>
      <c r="X33" s="54"/>
      <c r="Z33" s="54"/>
      <c r="AA33" s="54"/>
    </row>
    <row r="34" spans="1:38" ht="16.5" customHeight="1" x14ac:dyDescent="0.2">
      <c r="A34" s="34"/>
      <c r="B34" s="139"/>
      <c r="C34" s="139"/>
      <c r="D34" s="139"/>
      <c r="E34" s="139"/>
      <c r="F34" s="139"/>
      <c r="G34" s="139"/>
      <c r="H34" s="139"/>
      <c r="I34" s="139"/>
      <c r="J34" s="139"/>
      <c r="K34" s="139"/>
      <c r="L34" s="139" t="s">
        <v>62</v>
      </c>
      <c r="M34" s="139"/>
      <c r="O34" s="35"/>
      <c r="P34" s="35"/>
      <c r="Q34" s="35"/>
    </row>
    <row r="35" spans="1:38" ht="16.5" customHeight="1" thickBot="1" x14ac:dyDescent="0.25">
      <c r="A35" s="34"/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35" t="s">
        <v>61</v>
      </c>
      <c r="P35" s="35"/>
      <c r="Q35" s="35"/>
    </row>
    <row r="36" spans="1:38" ht="16.5" customHeight="1" thickBot="1" x14ac:dyDescent="0.25">
      <c r="A36" s="34"/>
      <c r="B36" s="232"/>
      <c r="C36" s="233"/>
      <c r="D36" s="233"/>
      <c r="E36" s="233"/>
      <c r="F36" s="233"/>
      <c r="G36" s="233"/>
      <c r="H36" s="233"/>
      <c r="I36" s="233"/>
      <c r="J36" s="233"/>
      <c r="K36" s="233"/>
      <c r="L36" s="234"/>
      <c r="M36" s="139"/>
      <c r="N36" s="139"/>
      <c r="O36" s="34"/>
      <c r="P36" s="40"/>
      <c r="Q36" s="35"/>
    </row>
    <row r="37" spans="1:38" ht="68.25" customHeight="1" thickBot="1" x14ac:dyDescent="0.25">
      <c r="A37" s="34"/>
      <c r="B37" s="228" t="s">
        <v>69</v>
      </c>
      <c r="C37" s="229"/>
      <c r="D37" s="141" t="s">
        <v>68</v>
      </c>
      <c r="E37" s="141" t="s">
        <v>29</v>
      </c>
      <c r="F37" s="141" t="s">
        <v>70</v>
      </c>
      <c r="G37" s="141" t="s">
        <v>44</v>
      </c>
      <c r="H37" s="141" t="s">
        <v>13</v>
      </c>
      <c r="I37" s="141" t="s">
        <v>46</v>
      </c>
      <c r="J37" s="141" t="s">
        <v>60</v>
      </c>
      <c r="K37" s="142" t="str">
        <f>"Income multiple
(max "&amp;F48&amp;")"</f>
        <v>Income multiple
(max 4.5)</v>
      </c>
      <c r="L37" s="143" t="str">
        <f>"IMS Income multiple
(max "&amp;F48&amp;")"</f>
        <v>IMS Income multiple
(max 4.5)</v>
      </c>
      <c r="M37" s="144" t="s">
        <v>14</v>
      </c>
      <c r="N37" s="144" t="s">
        <v>34</v>
      </c>
      <c r="O37" s="33" t="str">
        <f>"Debt to household income ratio (max "&amp;F50*100&amp;"%)"</f>
        <v>Debt to household income ratio (max 45%)</v>
      </c>
      <c r="P37" s="35"/>
      <c r="Q37" s="35"/>
    </row>
    <row r="38" spans="1:38" ht="34.5" customHeight="1" thickBot="1" x14ac:dyDescent="0.25">
      <c r="A38" s="34"/>
      <c r="B38" s="223">
        <v>0.6</v>
      </c>
      <c r="C38" s="224"/>
      <c r="D38" s="145">
        <f>B38*I12</f>
        <v>204000</v>
      </c>
      <c r="E38" s="29">
        <f>I12-D38</f>
        <v>136000</v>
      </c>
      <c r="F38" s="23">
        <f>100%-B38</f>
        <v>0.4</v>
      </c>
      <c r="G38" s="29">
        <f>N31</f>
        <v>50000</v>
      </c>
      <c r="H38" s="28" t="str">
        <f>IF(G38&gt;=($I$12*$N$30),"YES","NO")</f>
        <v>YES</v>
      </c>
      <c r="I38" s="146">
        <f>D38-G38</f>
        <v>154000</v>
      </c>
      <c r="J38" s="147">
        <f>I38/I12</f>
        <v>0.45294117647058824</v>
      </c>
      <c r="K38" s="148">
        <f>I38/($I$23+(12*$N$22)-(12*$I$30))</f>
        <v>3.4222222222222221</v>
      </c>
      <c r="L38" s="148">
        <f>I38/($I$23+(12*$N$22))</f>
        <v>3.4222222222222221</v>
      </c>
      <c r="M38" s="28">
        <f>(I38*(1+MortRate/12)*(1/(1+MortRate/12)-1))/((1/(1+MortRate/12))^(MortTerm*12)-1)</f>
        <v>757.68718107868108</v>
      </c>
      <c r="N38" s="29">
        <f>$I$32+$I$33</f>
        <v>473.33333333333337</v>
      </c>
      <c r="O38" s="22">
        <f>IF($I$23&gt;0,(M38+N38)/(I24+$N$22-$I$30),0)</f>
        <v>0.449462101925796</v>
      </c>
      <c r="P38" s="35"/>
      <c r="Q38" s="35"/>
    </row>
    <row r="39" spans="1:38" ht="16.5" customHeight="1" x14ac:dyDescent="0.2">
      <c r="A39" s="34"/>
      <c r="B39" s="128">
        <v>0.8</v>
      </c>
      <c r="C39" s="34"/>
      <c r="D39" s="38"/>
      <c r="E39" s="38"/>
      <c r="F39" s="38"/>
      <c r="G39" s="38"/>
      <c r="H39" s="71"/>
      <c r="I39" s="34"/>
      <c r="J39" s="34"/>
      <c r="K39" s="72"/>
      <c r="L39" s="72"/>
      <c r="M39" s="72"/>
      <c r="N39" s="72"/>
      <c r="O39" s="248">
        <f>I24</f>
        <v>2738.875</v>
      </c>
      <c r="P39" s="35"/>
      <c r="Q39" s="35"/>
    </row>
    <row r="40" spans="1:38" ht="16.5" customHeight="1" x14ac:dyDescent="0.2">
      <c r="A40" s="34"/>
      <c r="B40" s="70"/>
      <c r="C40" s="34"/>
      <c r="D40" s="248">
        <f>D38+E38</f>
        <v>340000</v>
      </c>
      <c r="E40" s="34"/>
      <c r="F40" s="34"/>
      <c r="G40" s="34"/>
      <c r="H40" s="73"/>
      <c r="I40" s="34"/>
      <c r="J40" s="34"/>
      <c r="K40" s="72"/>
      <c r="L40" s="72"/>
      <c r="M40" s="72"/>
      <c r="N40" s="72"/>
      <c r="O40" s="34"/>
      <c r="P40" s="35"/>
      <c r="Q40" s="35"/>
    </row>
    <row r="41" spans="1:38" ht="16.5" customHeight="1" x14ac:dyDescent="0.2">
      <c r="A41" s="34"/>
      <c r="B41" s="70"/>
      <c r="C41" s="34"/>
      <c r="D41" s="34"/>
      <c r="E41" s="34"/>
      <c r="F41" s="34"/>
      <c r="G41" s="34"/>
      <c r="H41" s="73"/>
      <c r="I41" s="34"/>
      <c r="J41" s="34"/>
      <c r="K41" s="72"/>
      <c r="L41" s="41"/>
      <c r="M41" s="41"/>
      <c r="N41" s="41"/>
      <c r="O41" s="34"/>
      <c r="P41" s="35"/>
      <c r="Q41" s="35"/>
    </row>
    <row r="42" spans="1:38" ht="16.5" customHeight="1" x14ac:dyDescent="0.2">
      <c r="A42" s="34"/>
      <c r="B42" s="70"/>
      <c r="C42" s="34"/>
      <c r="D42" s="250" t="s">
        <v>63</v>
      </c>
      <c r="E42" s="250" t="s">
        <v>67</v>
      </c>
      <c r="F42" s="250" t="s">
        <v>65</v>
      </c>
      <c r="G42" s="250" t="s">
        <v>66</v>
      </c>
      <c r="H42" s="250" t="s">
        <v>64</v>
      </c>
      <c r="I42" s="248"/>
      <c r="J42" s="34"/>
      <c r="K42" s="41"/>
      <c r="L42" s="75"/>
      <c r="M42" s="75"/>
      <c r="N42" s="75"/>
      <c r="O42" s="74"/>
      <c r="P42" s="35"/>
      <c r="Q42" s="35"/>
    </row>
    <row r="43" spans="1:38" s="8" customFormat="1" ht="16.5" customHeight="1" x14ac:dyDescent="0.2">
      <c r="A43" s="72"/>
      <c r="B43" s="72"/>
      <c r="C43" s="72"/>
      <c r="D43" s="258">
        <f>D40</f>
        <v>340000</v>
      </c>
      <c r="E43" s="121">
        <f>F43/D43</f>
        <v>0.4</v>
      </c>
      <c r="F43" s="258">
        <f>D43-(G43+H43)</f>
        <v>136000</v>
      </c>
      <c r="G43" s="258">
        <f>G38</f>
        <v>50000</v>
      </c>
      <c r="H43" s="258">
        <f>I38</f>
        <v>154000</v>
      </c>
      <c r="I43" s="127"/>
      <c r="J43" s="113"/>
      <c r="K43" s="75"/>
      <c r="L43" s="75"/>
      <c r="M43" s="75"/>
      <c r="N43" s="153"/>
      <c r="O43" s="75"/>
      <c r="P43" s="41"/>
      <c r="Q43" s="42"/>
      <c r="R43" s="42"/>
      <c r="S43" s="42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</row>
    <row r="44" spans="1:38" s="8" customFormat="1" ht="16.5" customHeight="1" outlineLevel="1" x14ac:dyDescent="0.2">
      <c r="A44" s="114"/>
      <c r="B44" s="114"/>
      <c r="C44" s="114"/>
      <c r="D44" s="251"/>
      <c r="E44" s="251"/>
      <c r="F44" s="251" t="s">
        <v>48</v>
      </c>
      <c r="G44" s="251" t="s">
        <v>49</v>
      </c>
      <c r="H44" s="251" t="s">
        <v>50</v>
      </c>
      <c r="I44" s="115" t="s">
        <v>50</v>
      </c>
      <c r="J44" s="115" t="s">
        <v>48</v>
      </c>
      <c r="K44" s="115" t="s">
        <v>51</v>
      </c>
      <c r="L44" s="115" t="s">
        <v>52</v>
      </c>
      <c r="M44" s="115" t="s">
        <v>53</v>
      </c>
      <c r="N44" s="154"/>
      <c r="O44" s="153"/>
      <c r="P44" s="41"/>
      <c r="Q44" s="42"/>
      <c r="R44" s="42"/>
      <c r="S44" s="42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  <c r="AJ44" s="50"/>
      <c r="AK44" s="50"/>
      <c r="AL44" s="50"/>
    </row>
    <row r="45" spans="1:38" s="8" customFormat="1" ht="16.5" customHeight="1" outlineLevel="1" x14ac:dyDescent="0.2">
      <c r="A45" s="114"/>
      <c r="B45" s="116" t="s">
        <v>47</v>
      </c>
      <c r="C45" s="114"/>
      <c r="D45" s="251"/>
      <c r="E45" s="251"/>
      <c r="F45" s="251">
        <f>G45+H45</f>
        <v>42385</v>
      </c>
      <c r="G45" s="251">
        <v>10600</v>
      </c>
      <c r="H45" s="251">
        <v>31785</v>
      </c>
      <c r="I45" s="119">
        <v>0.2</v>
      </c>
      <c r="J45" s="150">
        <v>0.4</v>
      </c>
      <c r="K45" s="150">
        <v>0.12</v>
      </c>
      <c r="L45" s="114">
        <v>7750</v>
      </c>
      <c r="M45" s="150">
        <v>0.02</v>
      </c>
      <c r="N45" s="111"/>
      <c r="O45" s="155"/>
      <c r="P45" s="75"/>
      <c r="Q45" s="42"/>
      <c r="R45" s="42"/>
      <c r="S45" s="42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</row>
    <row r="46" spans="1:38" s="8" customFormat="1" ht="16.5" customHeight="1" outlineLevel="1" x14ac:dyDescent="0.2">
      <c r="A46" s="114"/>
      <c r="B46" s="116" t="s">
        <v>12</v>
      </c>
      <c r="C46" s="114"/>
      <c r="D46" s="251"/>
      <c r="E46" s="251"/>
      <c r="F46" s="118">
        <f ca="1">IF(L6="",0,IF(L7="",L6,IF(L6&gt;L7,L6,L7)))</f>
        <v>0</v>
      </c>
      <c r="G46" s="251" t="s">
        <v>54</v>
      </c>
      <c r="H46" s="252">
        <f ca="1">IF(F46&lt;36,40,75-F46)</f>
        <v>40</v>
      </c>
      <c r="I46" s="72"/>
      <c r="J46" s="110"/>
      <c r="K46" s="111"/>
      <c r="L46" s="111"/>
      <c r="M46" s="127"/>
      <c r="N46" s="151"/>
      <c r="O46" s="153"/>
      <c r="P46" s="75"/>
      <c r="Q46" s="42"/>
      <c r="R46" s="42"/>
      <c r="S46" s="42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</row>
    <row r="47" spans="1:38" s="8" customFormat="1" ht="16.5" customHeight="1" outlineLevel="1" x14ac:dyDescent="0.2">
      <c r="A47" s="114"/>
      <c r="B47" s="116" t="s">
        <v>40</v>
      </c>
      <c r="C47" s="114"/>
      <c r="D47" s="251"/>
      <c r="E47" s="251"/>
      <c r="F47" s="253">
        <v>1.7500000000000002E-2</v>
      </c>
      <c r="G47" s="121"/>
      <c r="H47" s="251"/>
      <c r="I47" s="72"/>
      <c r="J47" s="110"/>
      <c r="K47" s="111"/>
      <c r="L47" s="111"/>
      <c r="M47" s="127"/>
      <c r="N47" s="111"/>
      <c r="O47" s="151"/>
      <c r="P47" s="75"/>
      <c r="Q47" s="42"/>
      <c r="R47" s="42"/>
      <c r="S47" s="42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</row>
    <row r="48" spans="1:38" s="8" customFormat="1" ht="16.5" customHeight="1" outlineLevel="1" x14ac:dyDescent="0.2">
      <c r="A48" s="114"/>
      <c r="B48" s="117" t="s">
        <v>38</v>
      </c>
      <c r="C48" s="114"/>
      <c r="D48" s="251"/>
      <c r="E48" s="251"/>
      <c r="F48" s="254">
        <v>4.5</v>
      </c>
      <c r="G48" s="254">
        <f>F48+0.00000001</f>
        <v>4.5000000099999999</v>
      </c>
      <c r="H48" s="251"/>
      <c r="I48" s="72"/>
      <c r="J48" s="110"/>
      <c r="K48" s="151"/>
      <c r="L48" s="111"/>
      <c r="M48" s="127"/>
      <c r="N48" s="111"/>
      <c r="O48" s="111"/>
      <c r="P48" s="72"/>
      <c r="Q48" s="42"/>
      <c r="R48" s="42"/>
      <c r="S48" s="42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0"/>
      <c r="AL48" s="50"/>
    </row>
    <row r="49" spans="1:38" s="8" customFormat="1" ht="16.5" customHeight="1" outlineLevel="1" x14ac:dyDescent="0.2">
      <c r="A49" s="114"/>
      <c r="B49" s="117" t="s">
        <v>45</v>
      </c>
      <c r="C49" s="114"/>
      <c r="D49" s="251"/>
      <c r="E49" s="251"/>
      <c r="F49" s="255">
        <v>0.6</v>
      </c>
      <c r="G49" s="255">
        <f>F49+1%</f>
        <v>0.61</v>
      </c>
      <c r="H49" s="255">
        <f t="shared" ref="H49:AJ49" si="0">G49+1%</f>
        <v>0.62</v>
      </c>
      <c r="I49" s="149">
        <f t="shared" si="0"/>
        <v>0.63</v>
      </c>
      <c r="J49" s="149">
        <f t="shared" si="0"/>
        <v>0.64</v>
      </c>
      <c r="K49" s="149">
        <f t="shared" si="0"/>
        <v>0.65</v>
      </c>
      <c r="L49" s="149">
        <f t="shared" si="0"/>
        <v>0.66</v>
      </c>
      <c r="M49" s="149">
        <f t="shared" si="0"/>
        <v>0.67</v>
      </c>
      <c r="N49" s="149">
        <f t="shared" si="0"/>
        <v>0.68</v>
      </c>
      <c r="O49" s="149">
        <f t="shared" si="0"/>
        <v>0.69000000000000006</v>
      </c>
      <c r="P49" s="149">
        <f t="shared" si="0"/>
        <v>0.70000000000000007</v>
      </c>
      <c r="Q49" s="149">
        <f t="shared" si="0"/>
        <v>0.71000000000000008</v>
      </c>
      <c r="R49" s="149">
        <f t="shared" si="0"/>
        <v>0.72000000000000008</v>
      </c>
      <c r="S49" s="149">
        <f t="shared" si="0"/>
        <v>0.73000000000000009</v>
      </c>
      <c r="T49" s="149">
        <f t="shared" si="0"/>
        <v>0.7400000000000001</v>
      </c>
      <c r="U49" s="149">
        <f t="shared" si="0"/>
        <v>0.75000000000000011</v>
      </c>
      <c r="V49" s="149">
        <f t="shared" si="0"/>
        <v>0.76000000000000012</v>
      </c>
      <c r="W49" s="149">
        <f t="shared" si="0"/>
        <v>0.77000000000000013</v>
      </c>
      <c r="X49" s="149">
        <f t="shared" si="0"/>
        <v>0.78000000000000014</v>
      </c>
      <c r="Y49" s="149">
        <f t="shared" si="0"/>
        <v>0.79000000000000015</v>
      </c>
      <c r="Z49" s="149">
        <f t="shared" si="0"/>
        <v>0.80000000000000016</v>
      </c>
      <c r="AA49" s="149">
        <f t="shared" si="0"/>
        <v>0.81000000000000016</v>
      </c>
      <c r="AB49" s="149">
        <f t="shared" si="0"/>
        <v>0.82000000000000017</v>
      </c>
      <c r="AC49" s="149">
        <f t="shared" si="0"/>
        <v>0.83000000000000018</v>
      </c>
      <c r="AD49" s="149">
        <f t="shared" si="0"/>
        <v>0.84000000000000019</v>
      </c>
      <c r="AE49" s="149">
        <f t="shared" si="0"/>
        <v>0.8500000000000002</v>
      </c>
      <c r="AF49" s="149">
        <f t="shared" si="0"/>
        <v>0.86000000000000021</v>
      </c>
      <c r="AG49" s="149">
        <f t="shared" si="0"/>
        <v>0.87000000000000022</v>
      </c>
      <c r="AH49" s="149">
        <f t="shared" si="0"/>
        <v>0.88000000000000023</v>
      </c>
      <c r="AI49" s="149">
        <f t="shared" si="0"/>
        <v>0.89000000000000024</v>
      </c>
      <c r="AJ49" s="149">
        <f t="shared" si="0"/>
        <v>0.90000000000000024</v>
      </c>
      <c r="AK49" s="50"/>
      <c r="AL49" s="50"/>
    </row>
    <row r="50" spans="1:38" s="8" customFormat="1" ht="16.5" customHeight="1" outlineLevel="1" x14ac:dyDescent="0.2">
      <c r="A50" s="114"/>
      <c r="B50" s="116" t="s">
        <v>39</v>
      </c>
      <c r="C50" s="114"/>
      <c r="D50" s="251"/>
      <c r="E50" s="251"/>
      <c r="F50" s="256">
        <v>0.45</v>
      </c>
      <c r="G50" s="257"/>
      <c r="H50" s="251"/>
      <c r="I50" s="72"/>
      <c r="J50" s="112"/>
      <c r="K50" s="113"/>
      <c r="L50" s="72"/>
      <c r="M50" s="127"/>
      <c r="N50" s="72"/>
      <c r="O50" s="72"/>
      <c r="P50" s="72"/>
      <c r="Q50" s="42"/>
      <c r="R50" s="42"/>
      <c r="S50" s="42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s="8" customFormat="1" ht="16.5" customHeight="1" outlineLevel="1" x14ac:dyDescent="0.2">
      <c r="A51" s="114"/>
      <c r="B51" s="114"/>
      <c r="C51" s="114"/>
      <c r="D51" s="251"/>
      <c r="E51" s="118"/>
      <c r="F51" s="251"/>
      <c r="G51" s="251"/>
      <c r="H51" s="251"/>
      <c r="I51" s="72"/>
      <c r="J51" s="72"/>
      <c r="K51" s="72"/>
      <c r="L51" s="72"/>
      <c r="M51" s="127"/>
      <c r="N51" s="72"/>
      <c r="O51" s="72"/>
      <c r="P51" s="42"/>
      <c r="Q51" s="42"/>
      <c r="R51" s="42"/>
      <c r="S51" s="42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s="8" customFormat="1" ht="16.5" customHeight="1" x14ac:dyDescent="0.2">
      <c r="A52" s="114"/>
      <c r="B52" s="114"/>
      <c r="C52" s="114"/>
      <c r="I52" s="72"/>
      <c r="J52" s="72"/>
      <c r="K52" s="72"/>
      <c r="L52" s="34"/>
      <c r="M52" s="34"/>
      <c r="N52" s="34"/>
      <c r="O52" s="72"/>
      <c r="P52" s="42"/>
      <c r="Q52" s="42"/>
      <c r="R52" s="42"/>
      <c r="S52" s="42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  <c r="AJ52" s="50"/>
      <c r="AK52" s="50"/>
      <c r="AL52" s="50"/>
    </row>
    <row r="53" spans="1:38" ht="16.5" customHeight="1" x14ac:dyDescent="0.2">
      <c r="A53" s="114"/>
      <c r="B53" s="114"/>
      <c r="C53" s="114"/>
      <c r="D53" s="119"/>
      <c r="E53" s="120"/>
      <c r="F53" s="116"/>
      <c r="G53" s="114"/>
      <c r="H53" s="115"/>
      <c r="I53" s="34"/>
      <c r="J53" s="34"/>
      <c r="K53" s="34"/>
      <c r="L53" s="34"/>
      <c r="M53" s="34"/>
      <c r="N53" s="34"/>
      <c r="O53" s="34"/>
      <c r="P53" s="35"/>
      <c r="Q53" s="35"/>
    </row>
    <row r="54" spans="1:38" ht="16.5" customHeight="1" x14ac:dyDescent="0.2">
      <c r="A54" s="114"/>
      <c r="B54" s="114"/>
      <c r="C54" s="114"/>
      <c r="D54" s="119"/>
      <c r="E54" s="120"/>
      <c r="F54" s="114"/>
      <c r="G54" s="114"/>
      <c r="H54" s="115"/>
      <c r="I54" s="34"/>
      <c r="J54" s="34"/>
      <c r="K54" s="34"/>
      <c r="L54" s="34"/>
      <c r="M54" s="34"/>
      <c r="N54" s="34"/>
      <c r="O54" s="34"/>
      <c r="P54" s="35"/>
      <c r="Q54" s="35"/>
    </row>
    <row r="55" spans="1:38" ht="16.5" customHeight="1" x14ac:dyDescent="0.2">
      <c r="A55" s="114"/>
      <c r="B55" s="114"/>
      <c r="C55" s="114"/>
      <c r="D55" s="114"/>
      <c r="E55" s="121"/>
      <c r="F55" s="114"/>
      <c r="G55" s="114"/>
      <c r="H55" s="115"/>
      <c r="I55" s="34"/>
      <c r="J55" s="34"/>
      <c r="K55" s="34"/>
      <c r="O55" s="35"/>
      <c r="P55" s="35"/>
      <c r="Q55" s="35"/>
    </row>
    <row r="56" spans="1:38" ht="16.5" customHeight="1" x14ac:dyDescent="0.2">
      <c r="A56" s="122"/>
      <c r="B56" s="122"/>
      <c r="C56" s="122"/>
      <c r="D56" s="122"/>
      <c r="E56" s="123"/>
      <c r="F56" s="124"/>
      <c r="G56" s="124"/>
      <c r="H56" s="125"/>
      <c r="O56" s="3"/>
      <c r="P56" s="51"/>
    </row>
    <row r="57" spans="1:38" ht="16.5" customHeight="1" x14ac:dyDescent="0.25">
      <c r="A57" s="122"/>
      <c r="B57" s="122"/>
      <c r="C57" s="126"/>
      <c r="D57" s="126"/>
      <c r="E57" s="123"/>
      <c r="F57" s="124"/>
      <c r="G57" s="124"/>
      <c r="H57" s="125"/>
      <c r="J57" s="4"/>
      <c r="L57" s="30"/>
      <c r="M57" s="59"/>
      <c r="N57" s="59"/>
      <c r="P57" s="3"/>
    </row>
    <row r="58" spans="1:38" ht="16.5" customHeight="1" x14ac:dyDescent="0.25">
      <c r="K58" s="30"/>
      <c r="L58" s="59"/>
      <c r="M58" s="60"/>
      <c r="N58" s="60"/>
      <c r="O58" s="3"/>
      <c r="P58" s="3"/>
    </row>
    <row r="59" spans="1:38" ht="16.5" customHeight="1" x14ac:dyDescent="0.2">
      <c r="A59" s="4"/>
      <c r="D59" s="3"/>
      <c r="E59" s="3"/>
      <c r="F59" s="3"/>
      <c r="G59" s="3"/>
      <c r="H59" s="1"/>
      <c r="K59" s="59"/>
      <c r="L59" s="60"/>
      <c r="M59" s="60"/>
      <c r="N59" s="60"/>
      <c r="O59" s="3"/>
      <c r="P59" s="3"/>
    </row>
    <row r="60" spans="1:38" ht="16.5" customHeight="1" x14ac:dyDescent="0.25">
      <c r="A60" s="4"/>
      <c r="D60" s="3"/>
      <c r="E60" s="3"/>
      <c r="F60" s="3"/>
      <c r="G60" s="3"/>
      <c r="H60" s="1"/>
      <c r="K60" s="60"/>
      <c r="L60" s="60"/>
      <c r="M60" s="62"/>
      <c r="N60" s="62"/>
      <c r="P60" s="52"/>
      <c r="Q60" s="30"/>
      <c r="R60" s="40"/>
      <c r="S60" s="40"/>
      <c r="T60" s="7"/>
      <c r="U60" s="7"/>
      <c r="V60" s="7"/>
    </row>
    <row r="61" spans="1:38" ht="16.5" customHeight="1" x14ac:dyDescent="0.2">
      <c r="A61" s="4"/>
      <c r="D61" s="5"/>
      <c r="E61" s="5"/>
      <c r="F61" s="5"/>
      <c r="G61" s="5"/>
      <c r="H61" s="6"/>
      <c r="I61" s="61"/>
      <c r="K61" s="60"/>
      <c r="L61" s="62"/>
      <c r="M61" s="63"/>
      <c r="N61" s="63"/>
      <c r="P61" s="3"/>
      <c r="Q61" s="7"/>
    </row>
    <row r="62" spans="1:38" ht="16.5" customHeight="1" x14ac:dyDescent="0.2">
      <c r="A62" s="4"/>
      <c r="I62" s="3"/>
      <c r="K62" s="62"/>
      <c r="L62" s="60"/>
      <c r="M62" s="60"/>
      <c r="N62" s="60"/>
      <c r="Q62" s="7"/>
    </row>
    <row r="63" spans="1:38" ht="16.5" customHeight="1" x14ac:dyDescent="0.2">
      <c r="A63" s="4"/>
      <c r="H63" s="1"/>
      <c r="I63" s="3"/>
      <c r="J63" s="59"/>
      <c r="K63" s="60"/>
      <c r="L63" s="63"/>
      <c r="M63" s="63"/>
      <c r="N63" s="63"/>
      <c r="Q63" s="7"/>
    </row>
    <row r="64" spans="1:38" ht="16.5" customHeight="1" x14ac:dyDescent="0.25">
      <c r="A64" s="4"/>
      <c r="H64" s="1"/>
      <c r="I64" s="3"/>
      <c r="J64" s="60"/>
      <c r="K64" s="63"/>
      <c r="L64" s="63"/>
      <c r="M64" s="63"/>
      <c r="N64" s="63"/>
      <c r="Q64" s="30"/>
      <c r="R64" s="40"/>
      <c r="S64" s="40"/>
      <c r="T64" s="7"/>
      <c r="U64" s="7"/>
      <c r="V64" s="7"/>
    </row>
    <row r="65" spans="1:38" ht="16.5" customHeight="1" x14ac:dyDescent="0.25">
      <c r="A65" s="4"/>
      <c r="H65" s="1"/>
      <c r="I65" s="3"/>
      <c r="J65" s="60"/>
      <c r="K65" s="63"/>
      <c r="L65" s="63"/>
      <c r="M65" s="63"/>
      <c r="N65" s="63"/>
      <c r="O65" s="4"/>
      <c r="Q65" s="53"/>
      <c r="T65" s="5"/>
      <c r="V65" s="64"/>
    </row>
    <row r="66" spans="1:38" ht="16.5" customHeight="1" x14ac:dyDescent="0.25">
      <c r="A66" s="4"/>
      <c r="B66" s="4"/>
      <c r="C66" s="4"/>
      <c r="H66" s="1"/>
      <c r="I66" s="3"/>
      <c r="J66" s="62"/>
      <c r="K66" s="63"/>
      <c r="L66" s="63"/>
      <c r="M66" s="63"/>
      <c r="N66" s="63"/>
      <c r="O66" s="4"/>
      <c r="Q66" s="53"/>
      <c r="T66" s="5"/>
      <c r="V66" s="64"/>
    </row>
    <row r="67" spans="1:38" ht="16.5" customHeight="1" x14ac:dyDescent="0.2">
      <c r="A67" s="4"/>
      <c r="B67" s="4"/>
      <c r="C67" s="4"/>
      <c r="H67" s="1"/>
      <c r="I67" s="3"/>
      <c r="J67" s="63"/>
      <c r="K67" s="63"/>
      <c r="L67" s="3"/>
      <c r="M67" s="3"/>
      <c r="N67" s="3"/>
      <c r="O67" s="4"/>
      <c r="Q67" s="239"/>
      <c r="R67" s="239"/>
      <c r="S67" s="239"/>
      <c r="T67" s="239"/>
      <c r="U67" s="239"/>
      <c r="V67" s="239"/>
    </row>
    <row r="68" spans="1:38" ht="16.5" customHeight="1" x14ac:dyDescent="0.2">
      <c r="A68" s="4"/>
      <c r="B68" s="4"/>
      <c r="C68" s="4"/>
      <c r="H68" s="1"/>
      <c r="I68" s="3"/>
      <c r="J68" s="60"/>
      <c r="K68" s="3"/>
      <c r="L68" s="65"/>
      <c r="M68" s="65"/>
      <c r="N68" s="65"/>
      <c r="O68" s="4"/>
      <c r="Q68" s="239"/>
      <c r="R68" s="239"/>
      <c r="S68" s="239"/>
      <c r="T68" s="239"/>
      <c r="U68" s="239"/>
      <c r="V68" s="239"/>
    </row>
    <row r="69" spans="1:38" ht="16.5" customHeight="1" x14ac:dyDescent="0.2">
      <c r="B69" s="4"/>
      <c r="C69" s="4"/>
      <c r="H69" s="1"/>
      <c r="I69" s="3"/>
      <c r="J69" s="63"/>
      <c r="K69" s="65"/>
      <c r="L69" s="65"/>
      <c r="M69" s="65"/>
      <c r="N69" s="65"/>
      <c r="O69" s="4"/>
      <c r="Q69" s="239"/>
      <c r="R69" s="239"/>
      <c r="S69" s="239"/>
      <c r="T69" s="239"/>
      <c r="U69" s="239"/>
      <c r="V69" s="239"/>
    </row>
    <row r="70" spans="1:38" ht="16.5" customHeight="1" x14ac:dyDescent="0.2">
      <c r="B70" s="4"/>
      <c r="C70" s="4"/>
      <c r="H70" s="1"/>
      <c r="I70" s="3"/>
      <c r="J70" s="63"/>
      <c r="K70" s="65"/>
      <c r="O70" s="4"/>
      <c r="Q70" s="239"/>
      <c r="R70" s="239"/>
      <c r="S70" s="239"/>
      <c r="T70" s="239"/>
      <c r="U70" s="239"/>
      <c r="V70" s="239"/>
    </row>
    <row r="71" spans="1:38" s="4" customFormat="1" ht="16.5" customHeight="1" x14ac:dyDescent="0.2">
      <c r="A71" s="1"/>
      <c r="D71" s="1"/>
      <c r="E71" s="1"/>
      <c r="F71" s="1"/>
      <c r="G71" s="1"/>
      <c r="H71" s="1"/>
      <c r="I71" s="3"/>
      <c r="J71" s="63"/>
      <c r="K71" s="1"/>
      <c r="L71" s="1"/>
      <c r="M71" s="1"/>
      <c r="N71" s="1"/>
      <c r="Q71" s="239"/>
      <c r="R71" s="239"/>
      <c r="S71" s="239"/>
      <c r="T71" s="239"/>
      <c r="U71" s="239"/>
      <c r="V71" s="239"/>
      <c r="W71" s="3"/>
      <c r="X71" s="3"/>
      <c r="Y71" s="3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</row>
    <row r="72" spans="1:38" s="4" customFormat="1" ht="16.5" customHeight="1" x14ac:dyDescent="0.2">
      <c r="A72" s="1"/>
      <c r="D72" s="1"/>
      <c r="E72" s="1"/>
      <c r="F72" s="1"/>
      <c r="G72" s="1"/>
      <c r="H72" s="1"/>
      <c r="I72" s="1"/>
      <c r="J72" s="63"/>
      <c r="K72" s="1"/>
      <c r="L72" s="1"/>
      <c r="M72" s="1"/>
      <c r="N72" s="1"/>
      <c r="Q72" s="239"/>
      <c r="R72" s="239"/>
      <c r="S72" s="239"/>
      <c r="T72" s="239"/>
      <c r="U72" s="239"/>
      <c r="V72" s="239"/>
      <c r="W72" s="3"/>
      <c r="X72" s="3"/>
      <c r="Y72" s="3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</row>
    <row r="73" spans="1:38" s="4" customFormat="1" ht="16.5" customHeight="1" x14ac:dyDescent="0.2">
      <c r="A73" s="1"/>
      <c r="D73" s="1"/>
      <c r="E73" s="1"/>
      <c r="F73" s="1"/>
      <c r="G73" s="1"/>
      <c r="H73" s="1"/>
      <c r="I73" s="1"/>
      <c r="J73" s="3"/>
      <c r="K73" s="1"/>
      <c r="L73" s="66"/>
      <c r="M73" s="66"/>
      <c r="N73" s="66"/>
      <c r="Q73" s="239"/>
      <c r="R73" s="239"/>
      <c r="S73" s="239"/>
      <c r="T73" s="239"/>
      <c r="U73" s="239"/>
      <c r="V73" s="239"/>
      <c r="W73" s="3"/>
      <c r="X73" s="3"/>
      <c r="Y73" s="3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</row>
    <row r="74" spans="1:38" s="4" customFormat="1" ht="16.5" customHeight="1" x14ac:dyDescent="0.2">
      <c r="A74" s="1"/>
      <c r="D74" s="1"/>
      <c r="E74" s="1"/>
      <c r="F74" s="1"/>
      <c r="G74" s="1"/>
      <c r="H74" s="1"/>
      <c r="I74" s="1"/>
      <c r="J74" s="65"/>
      <c r="K74" s="66"/>
      <c r="L74" s="1"/>
      <c r="M74" s="1"/>
      <c r="N74" s="1"/>
      <c r="Q74" s="3"/>
      <c r="R74" s="35"/>
      <c r="S74" s="35"/>
      <c r="T74" s="3"/>
      <c r="U74" s="3"/>
      <c r="V74" s="3"/>
      <c r="W74" s="3"/>
      <c r="X74" s="3"/>
      <c r="Y74" s="3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</row>
    <row r="75" spans="1:38" s="4" customFormat="1" ht="16.5" customHeight="1" x14ac:dyDescent="0.2">
      <c r="A75" s="1"/>
      <c r="D75" s="5"/>
      <c r="E75" s="5"/>
      <c r="F75" s="5"/>
      <c r="G75" s="5"/>
      <c r="H75" s="6"/>
      <c r="I75" s="1"/>
      <c r="J75" s="65"/>
      <c r="K75" s="1"/>
      <c r="L75" s="1"/>
      <c r="M75" s="1"/>
      <c r="N75" s="1"/>
      <c r="O75" s="1"/>
      <c r="Q75" s="3"/>
      <c r="R75" s="35"/>
      <c r="S75" s="35"/>
      <c r="T75" s="3"/>
      <c r="U75" s="3"/>
      <c r="V75" s="3"/>
      <c r="W75" s="3"/>
      <c r="X75" s="3"/>
      <c r="Y75" s="3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</row>
    <row r="76" spans="1:38" s="4" customFormat="1" ht="16.5" customHeight="1" x14ac:dyDescent="0.2">
      <c r="A76" s="1"/>
      <c r="D76" s="1"/>
      <c r="E76" s="1"/>
      <c r="F76" s="1"/>
      <c r="G76" s="1"/>
      <c r="H76" s="2"/>
      <c r="I76" s="1"/>
      <c r="J76" s="1"/>
      <c r="K76" s="1"/>
      <c r="L76" s="1"/>
      <c r="M76" s="1"/>
      <c r="N76" s="1"/>
      <c r="O76" s="67"/>
      <c r="Q76" s="240"/>
      <c r="R76" s="240"/>
      <c r="S76" s="240"/>
      <c r="T76" s="240"/>
      <c r="U76" s="240"/>
      <c r="V76" s="240"/>
      <c r="W76" s="240"/>
      <c r="X76" s="238"/>
      <c r="Y76" s="237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</row>
    <row r="77" spans="1:38" ht="16.5" customHeight="1" x14ac:dyDescent="0.25">
      <c r="B77" s="4"/>
      <c r="C77" s="4"/>
      <c r="O77" s="68"/>
      <c r="Q77" s="240"/>
      <c r="R77" s="240"/>
      <c r="S77" s="240"/>
      <c r="T77" s="240"/>
      <c r="U77" s="240"/>
      <c r="V77" s="240"/>
      <c r="W77" s="240"/>
      <c r="X77" s="238"/>
      <c r="Y77" s="237"/>
    </row>
    <row r="78" spans="1:38" ht="16.5" customHeight="1" x14ac:dyDescent="0.25">
      <c r="B78" s="4"/>
      <c r="C78" s="4"/>
      <c r="O78" s="68"/>
      <c r="P78" s="49"/>
      <c r="Q78" s="240"/>
      <c r="R78" s="240"/>
      <c r="S78" s="240"/>
      <c r="T78" s="240"/>
      <c r="U78" s="240"/>
      <c r="V78" s="240"/>
      <c r="W78" s="240"/>
      <c r="X78" s="238"/>
      <c r="Y78" s="237"/>
    </row>
    <row r="79" spans="1:38" ht="16.5" customHeight="1" x14ac:dyDescent="0.25">
      <c r="B79" s="4"/>
      <c r="C79" s="4"/>
      <c r="I79" s="66"/>
      <c r="J79" s="66"/>
      <c r="O79" s="68"/>
      <c r="P79" s="54"/>
    </row>
    <row r="80" spans="1:38" ht="16.5" customHeight="1" x14ac:dyDescent="0.25">
      <c r="O80" s="68"/>
      <c r="P80" s="3"/>
    </row>
    <row r="81" spans="15:22" ht="16.5" customHeight="1" x14ac:dyDescent="0.25">
      <c r="O81" s="68"/>
      <c r="P81" s="3"/>
      <c r="Q81" s="55"/>
      <c r="S81" s="46"/>
      <c r="T81" s="56"/>
      <c r="U81" s="56"/>
      <c r="V81" s="56"/>
    </row>
    <row r="82" spans="15:22" ht="16.5" customHeight="1" x14ac:dyDescent="0.25">
      <c r="O82" s="69"/>
      <c r="Q82" s="55"/>
      <c r="S82" s="45"/>
      <c r="T82" s="54"/>
      <c r="U82" s="54"/>
      <c r="V82" s="54"/>
    </row>
    <row r="83" spans="15:22" ht="16.5" customHeight="1" x14ac:dyDescent="0.2">
      <c r="Q83" s="55"/>
      <c r="S83" s="45"/>
      <c r="T83" s="54"/>
      <c r="U83" s="54"/>
      <c r="V83" s="54"/>
    </row>
    <row r="84" spans="15:22" ht="16.5" customHeight="1" x14ac:dyDescent="0.2">
      <c r="S84" s="47"/>
      <c r="T84" s="57"/>
      <c r="U84" s="57"/>
      <c r="V84" s="57"/>
    </row>
    <row r="85" spans="15:22" ht="16.5" customHeight="1" x14ac:dyDescent="0.2">
      <c r="Q85" s="5"/>
      <c r="S85" s="48"/>
      <c r="T85" s="58"/>
      <c r="U85" s="58"/>
      <c r="V85" s="58"/>
    </row>
    <row r="86" spans="15:22" ht="16.5" customHeight="1" x14ac:dyDescent="0.2">
      <c r="Q86" s="5"/>
      <c r="S86" s="48"/>
      <c r="T86" s="58"/>
      <c r="U86" s="58"/>
      <c r="V86" s="58"/>
    </row>
  </sheetData>
  <sheetProtection selectLockedCells="1"/>
  <dataConsolidate/>
  <mergeCells count="27">
    <mergeCell ref="Y76:Y78"/>
    <mergeCell ref="X76:X78"/>
    <mergeCell ref="Q67:V73"/>
    <mergeCell ref="Q76:W78"/>
    <mergeCell ref="G6:J6"/>
    <mergeCell ref="J9:N9"/>
    <mergeCell ref="K15:K22"/>
    <mergeCell ref="I11:N11"/>
    <mergeCell ref="B5:B9"/>
    <mergeCell ref="M5:N5"/>
    <mergeCell ref="B38:C38"/>
    <mergeCell ref="B11:B13"/>
    <mergeCell ref="E9:H9"/>
    <mergeCell ref="B37:C37"/>
    <mergeCell ref="B28:B30"/>
    <mergeCell ref="K28:K31"/>
    <mergeCell ref="B36:L36"/>
    <mergeCell ref="B32:B33"/>
    <mergeCell ref="D5:F5"/>
    <mergeCell ref="G2:J3"/>
    <mergeCell ref="E8:N8"/>
    <mergeCell ref="D6:F6"/>
    <mergeCell ref="G7:J7"/>
    <mergeCell ref="G5:J5"/>
    <mergeCell ref="D7:F7"/>
    <mergeCell ref="M6:N7"/>
    <mergeCell ref="K3:N3"/>
  </mergeCells>
  <phoneticPr fontId="3" type="noConversion"/>
  <conditionalFormatting sqref="H38">
    <cfRule type="expression" dxfId="8" priority="25" stopIfTrue="1">
      <formula>$B$38&lt;0.0000000000000000001</formula>
    </cfRule>
  </conditionalFormatting>
  <conditionalFormatting sqref="K38">
    <cfRule type="cellIs" dxfId="7" priority="35" stopIfTrue="1" operator="greaterThan">
      <formula>4.5</formula>
    </cfRule>
  </conditionalFormatting>
  <conditionalFormatting sqref="L38">
    <cfRule type="cellIs" dxfId="6" priority="38" stopIfTrue="1" operator="greaterThan">
      <formula>4.5</formula>
    </cfRule>
  </conditionalFormatting>
  <conditionalFormatting sqref="I38">
    <cfRule type="cellIs" dxfId="5" priority="4" stopIfTrue="1" operator="greaterThanOrEqual">
      <formula>I12*0.25</formula>
    </cfRule>
  </conditionalFormatting>
  <conditionalFormatting sqref="J38">
    <cfRule type="cellIs" dxfId="4" priority="2" stopIfTrue="1" operator="greaterThanOrEqual">
      <formula>0.25</formula>
    </cfRule>
  </conditionalFormatting>
  <conditionalFormatting sqref="I12">
    <cfRule type="cellIs" dxfId="3" priority="1" stopIfTrue="1" operator="greaterThan">
      <formula>600000</formula>
    </cfRule>
  </conditionalFormatting>
  <conditionalFormatting sqref="O38">
    <cfRule type="cellIs" dxfId="2" priority="57" stopIfTrue="1" operator="greaterThan">
      <formula>$F$50</formula>
    </cfRule>
  </conditionalFormatting>
  <conditionalFormatting sqref="G38">
    <cfRule type="cellIs" dxfId="1" priority="64" stopIfTrue="1" operator="lessThan">
      <formula>$N$30*$I$12</formula>
    </cfRule>
    <cfRule type="expression" dxfId="0" priority="65" stopIfTrue="1">
      <formula>$B$38="n/a"</formula>
    </cfRule>
  </conditionalFormatting>
  <dataValidations count="2">
    <dataValidation type="whole" operator="lessThanOrEqual" allowBlank="1" showInputMessage="1" showErrorMessage="1" sqref="N28">
      <formula1>H46</formula1>
    </dataValidation>
    <dataValidation type="list" allowBlank="1" showInputMessage="1" showErrorMessage="1" sqref="B38:C38">
      <formula1>$F$49:$AJ$49</formula1>
    </dataValidation>
  </dataValidations>
  <printOptions horizontalCentered="1" verticalCentered="1"/>
  <pageMargins left="0.35433070866141736" right="0.35433070866141736" top="0.11811023622047245" bottom="0.11811023622047245" header="0" footer="0"/>
  <pageSetup paperSize="9" scale="70" orientation="landscape" copies="3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Y64"/>
  <sheetViews>
    <sheetView tabSelected="1" zoomScale="70" zoomScaleNormal="70" workbookViewId="0">
      <selection sqref="A1:AH66"/>
    </sheetView>
  </sheetViews>
  <sheetFormatPr defaultRowHeight="12.75" x14ac:dyDescent="0.2"/>
  <cols>
    <col min="4" max="4" width="6.85546875" customWidth="1"/>
    <col min="23" max="23" width="10.28515625" bestFit="1" customWidth="1"/>
  </cols>
  <sheetData>
    <row r="2" spans="2:25" x14ac:dyDescent="0.2">
      <c r="E2" s="259"/>
      <c r="H2" s="268">
        <v>1.7500000000000002E-2</v>
      </c>
      <c r="K2" s="259" t="s">
        <v>77</v>
      </c>
      <c r="L2" s="259" t="s">
        <v>75</v>
      </c>
      <c r="Q2">
        <v>300000</v>
      </c>
      <c r="R2">
        <v>5.0000000000000001E-3</v>
      </c>
      <c r="S2">
        <f ca="1">R2*Q2</f>
        <v>1500</v>
      </c>
      <c r="T2">
        <f ca="1">S2/12</f>
        <v>125</v>
      </c>
    </row>
    <row r="3" spans="2:25" x14ac:dyDescent="0.2">
      <c r="C3" s="259" t="s">
        <v>89</v>
      </c>
      <c r="E3" s="260"/>
      <c r="H3" s="265" t="s">
        <v>78</v>
      </c>
      <c r="I3" s="266"/>
      <c r="J3" s="267"/>
      <c r="K3" s="261">
        <v>4.8000000000000001E-2</v>
      </c>
      <c r="L3">
        <v>35</v>
      </c>
    </row>
    <row r="4" spans="2:25" s="277" customFormat="1" ht="33.75" x14ac:dyDescent="0.2">
      <c r="B4" s="273" t="s">
        <v>71</v>
      </c>
      <c r="C4" s="273" t="s">
        <v>87</v>
      </c>
      <c r="D4" s="273" t="s">
        <v>88</v>
      </c>
      <c r="E4" s="273" t="s">
        <v>85</v>
      </c>
      <c r="F4" s="273" t="s">
        <v>84</v>
      </c>
      <c r="G4" s="273" t="s">
        <v>83</v>
      </c>
      <c r="H4" s="274" t="s">
        <v>79</v>
      </c>
      <c r="I4" s="275" t="s">
        <v>80</v>
      </c>
      <c r="J4" s="276" t="s">
        <v>64</v>
      </c>
      <c r="K4" s="273" t="s">
        <v>73</v>
      </c>
      <c r="L4" s="273" t="s">
        <v>64</v>
      </c>
      <c r="M4" s="273" t="s">
        <v>82</v>
      </c>
      <c r="N4" s="273" t="s">
        <v>81</v>
      </c>
      <c r="O4" s="273"/>
      <c r="P4" s="273" t="s">
        <v>76</v>
      </c>
      <c r="Q4" s="273" t="s">
        <v>90</v>
      </c>
      <c r="R4" s="273"/>
      <c r="S4" s="273" t="s">
        <v>66</v>
      </c>
      <c r="T4" s="273" t="s">
        <v>72</v>
      </c>
      <c r="U4" s="273" t="s">
        <v>63</v>
      </c>
    </row>
    <row r="5" spans="2:25" x14ac:dyDescent="0.2">
      <c r="B5" s="264">
        <v>0.45</v>
      </c>
      <c r="C5" s="283">
        <f>VLOOKUP(T5,ETRTable,2,1)</f>
        <v>0.66500000000000004</v>
      </c>
      <c r="D5" s="283">
        <v>0.66500000000000004</v>
      </c>
      <c r="E5" s="278">
        <f>G5/B5</f>
        <v>5175.9712256798002</v>
      </c>
      <c r="F5" s="270">
        <f t="shared" ref="F5:F14" si="0">E5/D5</f>
        <v>7783.4153769621053</v>
      </c>
      <c r="G5" s="270">
        <f>+H5+I5+J5</f>
        <v>2329.1870515559103</v>
      </c>
      <c r="H5" s="269">
        <f>(U5*((100%-Q5)*$H$2))/12</f>
        <v>383.65540433578502</v>
      </c>
      <c r="I5">
        <v>250</v>
      </c>
      <c r="J5" s="270">
        <f>(L5*(1+MRate/12)*(1/(1+MRate/12)-1))/((1/(1+MRate/12))^(MortTerm*12)-1)</f>
        <v>1695.5316472201255</v>
      </c>
      <c r="K5" s="271">
        <f>L5/U5</f>
        <v>0.5239769169493067</v>
      </c>
      <c r="L5" s="262">
        <f>P5-S5</f>
        <v>344616.98731680732</v>
      </c>
      <c r="M5" s="262">
        <f>U5-P5</f>
        <v>263077.99154453824</v>
      </c>
      <c r="N5" s="279">
        <f>L5/T5</f>
        <v>3.689650479325874</v>
      </c>
      <c r="P5" s="262">
        <f>Q5*U5</f>
        <v>394616.98731680732</v>
      </c>
      <c r="Q5" s="264">
        <v>0.6</v>
      </c>
      <c r="S5" s="263">
        <v>50000</v>
      </c>
      <c r="T5" s="262">
        <f>F5*12</f>
        <v>93400.984523545267</v>
      </c>
      <c r="U5" s="263">
        <v>657694.97886134556</v>
      </c>
    </row>
    <row r="6" spans="2:25" x14ac:dyDescent="0.2">
      <c r="C6" s="283"/>
      <c r="D6" s="283"/>
      <c r="E6" s="278"/>
      <c r="F6" s="270"/>
      <c r="G6" s="270"/>
      <c r="H6" s="269"/>
      <c r="K6" s="272"/>
      <c r="N6" s="279"/>
    </row>
    <row r="7" spans="2:25" x14ac:dyDescent="0.2">
      <c r="B7" s="264">
        <v>0.45</v>
      </c>
      <c r="C7" s="283">
        <f>VLOOKUP(T7,ETRTable,2,1)</f>
        <v>0.64800000000000002</v>
      </c>
      <c r="D7" s="283">
        <v>0.64800000000000002</v>
      </c>
      <c r="E7" s="278">
        <f>G7/B7</f>
        <v>5689.2796472583677</v>
      </c>
      <c r="F7" s="270">
        <f t="shared" si="0"/>
        <v>8779.7525420653819</v>
      </c>
      <c r="G7" s="270">
        <f t="shared" ref="G7:G9" si="1">+H7+I7+J7</f>
        <v>2560.1758412662657</v>
      </c>
      <c r="H7" s="269">
        <f>(U7*((100%-Q7)*$H$2))/12</f>
        <v>515.00278388787558</v>
      </c>
      <c r="I7">
        <v>275</v>
      </c>
      <c r="J7" s="270">
        <f>(L7*(1+MRate/12)*(1/(1+MRate/12)-1))/((1/(1+MRate/12))^(MortTerm*12)-1)</f>
        <v>1770.1730573783902</v>
      </c>
      <c r="K7" s="271">
        <f>L7/U7</f>
        <v>0.40752450145053476</v>
      </c>
      <c r="L7" s="262">
        <f>P7-S7</f>
        <v>359787.86185636104</v>
      </c>
      <c r="M7" s="262">
        <f>U7-P7</f>
        <v>353144.76609454316</v>
      </c>
      <c r="N7" s="279">
        <f t="shared" ref="N7:N9" si="2">L7/T7</f>
        <v>3.4149392796337592</v>
      </c>
      <c r="P7" s="262">
        <f>Q7*U7</f>
        <v>529717.14914181479</v>
      </c>
      <c r="Q7" s="264">
        <v>0.6</v>
      </c>
      <c r="S7" s="263">
        <v>169929.28728545379</v>
      </c>
      <c r="T7" s="262">
        <f>F7*12</f>
        <v>105357.03050478458</v>
      </c>
      <c r="U7" s="263">
        <v>882861.91523635795</v>
      </c>
      <c r="W7" s="281" t="s">
        <v>86</v>
      </c>
      <c r="X7" s="282" t="s">
        <v>72</v>
      </c>
    </row>
    <row r="8" spans="2:25" x14ac:dyDescent="0.2">
      <c r="C8" s="283"/>
      <c r="D8" s="283"/>
      <c r="E8" s="278"/>
      <c r="F8" s="270"/>
      <c r="G8" s="270"/>
      <c r="H8" s="269"/>
      <c r="J8" s="270"/>
      <c r="K8" s="272"/>
      <c r="N8" s="279"/>
      <c r="W8" s="282">
        <v>0.25900000000000001</v>
      </c>
      <c r="X8" s="282">
        <v>40000</v>
      </c>
      <c r="Y8" s="282">
        <f>1-W8</f>
        <v>0.74099999999999999</v>
      </c>
    </row>
    <row r="9" spans="2:25" x14ac:dyDescent="0.2">
      <c r="B9" s="264">
        <v>0.45</v>
      </c>
      <c r="C9" s="283">
        <f>VLOOKUP(T9,ETRTable,2,1)</f>
        <v>0.68399999999999994</v>
      </c>
      <c r="D9" s="283">
        <v>0.68400000000000005</v>
      </c>
      <c r="E9" s="278">
        <f>G9/B9</f>
        <v>3930.8019795269411</v>
      </c>
      <c r="F9" s="270">
        <f t="shared" si="0"/>
        <v>5746.7865197762294</v>
      </c>
      <c r="G9" s="270">
        <f t="shared" si="1"/>
        <v>1768.8608907871235</v>
      </c>
      <c r="H9" s="269">
        <f>(U9*((100%-Q9)*$H$2))/12</f>
        <v>287.07680023899263</v>
      </c>
      <c r="I9">
        <v>275</v>
      </c>
      <c r="J9" s="270">
        <f>(L9*(1+MRate/12)*(1/(1+MRate/12)-1))/((1/(1+MRate/12))^(MortTerm*12)-1)</f>
        <v>1206.7840905481307</v>
      </c>
      <c r="K9" s="271">
        <f>L9/U9</f>
        <v>0.49840117124621247</v>
      </c>
      <c r="L9" s="262">
        <f>P9-S9</f>
        <v>245278.99453153519</v>
      </c>
      <c r="M9" s="262">
        <f>U9-P9</f>
        <v>196852.6630210235</v>
      </c>
      <c r="N9" s="279">
        <f t="shared" si="2"/>
        <v>3.5567557870162827</v>
      </c>
      <c r="P9" s="262">
        <f>Q9*U9</f>
        <v>295278.99453153519</v>
      </c>
      <c r="Q9" s="264">
        <v>0.6</v>
      </c>
      <c r="S9" s="263">
        <v>50000</v>
      </c>
      <c r="T9" s="262">
        <f>F9*12</f>
        <v>68961.438237314753</v>
      </c>
      <c r="U9" s="263">
        <v>492131.6575525587</v>
      </c>
      <c r="W9" s="281">
        <v>0.27</v>
      </c>
      <c r="X9" s="282">
        <v>45000</v>
      </c>
      <c r="Y9" s="282">
        <f t="shared" ref="Y9:Y16" si="3">1-W9</f>
        <v>0.73</v>
      </c>
    </row>
    <row r="10" spans="2:25" x14ac:dyDescent="0.2">
      <c r="C10" s="283"/>
      <c r="D10" s="283"/>
      <c r="E10" s="278"/>
      <c r="F10" s="270"/>
      <c r="H10" s="269"/>
      <c r="K10" s="272"/>
      <c r="N10" s="279"/>
      <c r="W10" s="281">
        <v>0.28499999999999998</v>
      </c>
      <c r="X10" s="282">
        <v>50000</v>
      </c>
      <c r="Y10" s="282">
        <f t="shared" si="3"/>
        <v>0.71500000000000008</v>
      </c>
    </row>
    <row r="11" spans="2:25" x14ac:dyDescent="0.2">
      <c r="B11" s="264">
        <v>0.45</v>
      </c>
      <c r="C11" s="283">
        <f>VLOOKUP(T11,ETRTable,2,1)</f>
        <v>0.66500000000000004</v>
      </c>
      <c r="D11" s="283">
        <v>0.67</v>
      </c>
      <c r="E11" s="278">
        <f>G11/B11</f>
        <v>4514.5756349882104</v>
      </c>
      <c r="F11" s="270">
        <f t="shared" si="0"/>
        <v>6738.1725895346417</v>
      </c>
      <c r="G11" s="270">
        <f t="shared" ref="G11" si="4">+H11+I11+J11</f>
        <v>2031.5590357446947</v>
      </c>
      <c r="H11" s="269">
        <f t="shared" ref="H11" si="5">(U11*((100%-Q11)*$H$2))/12</f>
        <v>275.625</v>
      </c>
      <c r="I11">
        <v>275</v>
      </c>
      <c r="J11" s="270">
        <f>(L11*(1+MRate/12)*(1/(1+MRate/12)-1))/((1/(1+MRate/12))^(MortTerm*12)-1)</f>
        <v>1480.9340357446947</v>
      </c>
      <c r="K11" s="271">
        <f>L11/U11</f>
        <v>0.55740740740740746</v>
      </c>
      <c r="L11" s="262">
        <f>P11-S11</f>
        <v>301000</v>
      </c>
      <c r="M11" s="262">
        <f>U11-P11</f>
        <v>189000</v>
      </c>
      <c r="N11" s="279">
        <f>L11/T11</f>
        <v>3.7225721069079452</v>
      </c>
      <c r="P11" s="262">
        <f>Q11*U11</f>
        <v>351000</v>
      </c>
      <c r="Q11" s="264">
        <v>0.65</v>
      </c>
      <c r="S11" s="263">
        <v>50000</v>
      </c>
      <c r="T11" s="262">
        <f>F11*12</f>
        <v>80858.071074415697</v>
      </c>
      <c r="U11" s="263">
        <v>540000</v>
      </c>
      <c r="W11" s="281">
        <v>0.29699999999999999</v>
      </c>
      <c r="X11" s="282">
        <v>55000</v>
      </c>
      <c r="Y11" s="282">
        <f t="shared" si="3"/>
        <v>0.70300000000000007</v>
      </c>
    </row>
    <row r="12" spans="2:25" x14ac:dyDescent="0.2">
      <c r="C12" s="283"/>
      <c r="D12" s="283"/>
      <c r="F12" s="270"/>
      <c r="W12" s="282">
        <v>0.307</v>
      </c>
      <c r="X12" s="282">
        <v>60000</v>
      </c>
      <c r="Y12" s="282">
        <f t="shared" si="3"/>
        <v>0.69300000000000006</v>
      </c>
    </row>
    <row r="13" spans="2:25" x14ac:dyDescent="0.2">
      <c r="B13" s="264">
        <v>0.45</v>
      </c>
      <c r="C13" s="283">
        <f>VLOOKUP(T13,ETRTable,2,1)</f>
        <v>0.69300000000000006</v>
      </c>
      <c r="D13" s="283">
        <v>0.69</v>
      </c>
      <c r="E13" s="278">
        <f t="shared" ref="E13" si="6">G13/B13</f>
        <v>3561.0732462709657</v>
      </c>
      <c r="F13" s="270">
        <f t="shared" si="0"/>
        <v>5160.9757192332836</v>
      </c>
      <c r="G13" s="270">
        <f t="shared" ref="G13" si="7">+H13+I13+J13</f>
        <v>1602.4829608219345</v>
      </c>
      <c r="H13" s="269">
        <f t="shared" ref="H13" si="8">(U13*((100%-Q13)*$H$2))/12</f>
        <v>0</v>
      </c>
      <c r="I13">
        <v>275</v>
      </c>
      <c r="J13" s="270">
        <f>(L13*(1+MRate/12)*(1/(1+MRate/12)-1))/((1/(1+MRate/12))^(MortTerm*12)-1)</f>
        <v>1327.4829608219345</v>
      </c>
      <c r="K13" s="271">
        <f>L13/U13</f>
        <v>0.84365768608293945</v>
      </c>
      <c r="L13" s="262">
        <f>P13-S13</f>
        <v>269811.05272962101</v>
      </c>
      <c r="M13" s="262">
        <f>U13-P13</f>
        <v>0</v>
      </c>
      <c r="N13" s="279">
        <f>L13/T13</f>
        <v>4.3565898421772369</v>
      </c>
      <c r="P13" s="262">
        <f>Q13*U13</f>
        <v>319811.05272962101</v>
      </c>
      <c r="Q13" s="264">
        <v>1</v>
      </c>
      <c r="S13" s="263">
        <v>50000</v>
      </c>
      <c r="T13" s="262">
        <f>F13*12</f>
        <v>61931.708630799403</v>
      </c>
      <c r="U13" s="263">
        <v>319811.05272962101</v>
      </c>
      <c r="W13" s="282">
        <v>0.316</v>
      </c>
      <c r="X13" s="282">
        <v>65000</v>
      </c>
      <c r="Y13" s="282">
        <f t="shared" si="3"/>
        <v>0.68399999999999994</v>
      </c>
    </row>
    <row r="14" spans="2:25" x14ac:dyDescent="0.2">
      <c r="C14" s="283"/>
      <c r="D14" s="283"/>
      <c r="F14" s="270"/>
      <c r="W14" s="282">
        <v>0.33</v>
      </c>
      <c r="X14" s="282">
        <v>75000</v>
      </c>
      <c r="Y14" s="282">
        <f t="shared" si="3"/>
        <v>0.66999999999999993</v>
      </c>
    </row>
    <row r="15" spans="2:25" x14ac:dyDescent="0.2">
      <c r="B15" s="264">
        <v>0.45</v>
      </c>
      <c r="C15" s="283">
        <f>VLOOKUP(T15,ETRTable,2,1)</f>
        <v>0.73</v>
      </c>
      <c r="D15" s="283">
        <v>0.73</v>
      </c>
      <c r="E15" s="278">
        <f>G15/B15</f>
        <v>2737.5</v>
      </c>
      <c r="F15" s="270">
        <f>E15/D15</f>
        <v>3750</v>
      </c>
      <c r="G15" s="270">
        <f t="shared" ref="G15" si="9">+H15+I15+J15</f>
        <v>1231.875</v>
      </c>
      <c r="H15" s="269">
        <f t="shared" ref="H15" si="10">(U15*((100%-Q15)*$H$2))/12</f>
        <v>198.47432314523599</v>
      </c>
      <c r="I15">
        <v>275</v>
      </c>
      <c r="J15" s="270">
        <f>(L15*(1+MRate/12)*(1/(1+MRate/12)-1))/((1/(1+MRate/12))^(MortTerm*12)-1)</f>
        <v>758.4006768547639</v>
      </c>
      <c r="K15" s="271">
        <f>L15/U15</f>
        <v>0.4530456423558446</v>
      </c>
      <c r="L15" s="262">
        <f>P15-S15</f>
        <v>154145.01809224268</v>
      </c>
      <c r="M15" s="262">
        <f>U15-P15</f>
        <v>136096.67872816182</v>
      </c>
      <c r="N15" s="279">
        <f>L15/T15</f>
        <v>3.4254448464942819</v>
      </c>
      <c r="P15" s="262">
        <f>Q15*U15</f>
        <v>204145.01809224268</v>
      </c>
      <c r="Q15" s="264">
        <v>0.6</v>
      </c>
      <c r="S15" s="263">
        <v>50000</v>
      </c>
      <c r="T15" s="262">
        <f>F15*12</f>
        <v>45000</v>
      </c>
      <c r="U15" s="263">
        <v>340241.6968204045</v>
      </c>
      <c r="W15" s="282">
        <v>0.33500000000000002</v>
      </c>
      <c r="X15" s="282">
        <v>80000</v>
      </c>
      <c r="Y15" s="282">
        <f t="shared" si="3"/>
        <v>0.66500000000000004</v>
      </c>
    </row>
    <row r="16" spans="2:25" x14ac:dyDescent="0.2">
      <c r="E16" s="270"/>
      <c r="W16" s="282">
        <v>0.35199999999999998</v>
      </c>
      <c r="X16" s="282">
        <v>100000</v>
      </c>
      <c r="Y16" s="282">
        <f t="shared" si="3"/>
        <v>0.64800000000000002</v>
      </c>
    </row>
    <row r="17" spans="2:25" x14ac:dyDescent="0.2">
      <c r="B17" s="264">
        <v>0.45</v>
      </c>
      <c r="C17" s="283">
        <f>VLOOKUP(T17,ETRTable,2,1)</f>
        <v>0.69300000000000006</v>
      </c>
      <c r="D17" s="283">
        <v>0.69299999999999995</v>
      </c>
      <c r="E17" s="278">
        <f>G17/B17</f>
        <v>3481.9551978008903</v>
      </c>
      <c r="F17" s="270">
        <f>E17/D17</f>
        <v>5024.4663748930598</v>
      </c>
      <c r="G17" s="270">
        <f t="shared" ref="G17" si="11">+H17+I17+J17</f>
        <v>1566.8798390104007</v>
      </c>
      <c r="H17" s="269">
        <f t="shared" ref="H17" si="12">(U17*((100%-Q17)*$H$2))/12</f>
        <v>253.75000000000003</v>
      </c>
      <c r="I17">
        <v>275</v>
      </c>
      <c r="J17" s="270">
        <f>(L17*(1+MRate/12)*(1/(1+MRate/12)-1))/((1/(1+MRate/12))^(MortTerm*12)-1)</f>
        <v>1038.1298390104007</v>
      </c>
      <c r="K17" s="271">
        <f>L17/U17</f>
        <v>0.48505747126436782</v>
      </c>
      <c r="L17" s="262">
        <f>P17-S17</f>
        <v>211000</v>
      </c>
      <c r="M17" s="262">
        <f>U17-P17</f>
        <v>174000</v>
      </c>
      <c r="N17" s="279">
        <f>L17/T17</f>
        <v>3.4995424431928006</v>
      </c>
      <c r="P17" s="262">
        <f>Q17*U17</f>
        <v>261000</v>
      </c>
      <c r="Q17" s="264">
        <v>0.6</v>
      </c>
      <c r="S17" s="263">
        <v>50000</v>
      </c>
      <c r="T17" s="262">
        <f>F17*12</f>
        <v>60293.596498716717</v>
      </c>
      <c r="U17" s="263">
        <v>435000</v>
      </c>
    </row>
    <row r="20" spans="2:25" x14ac:dyDescent="0.2">
      <c r="B20" s="264">
        <v>0.45</v>
      </c>
      <c r="C20" s="283">
        <f>VLOOKUP(T20,ETRTable,2,1)</f>
        <v>0.74099999999999999</v>
      </c>
      <c r="D20" s="283">
        <v>0.73</v>
      </c>
      <c r="E20" s="278">
        <f>G20/B20</f>
        <v>2735.6011431378101</v>
      </c>
      <c r="F20" s="270">
        <f>E20/D20</f>
        <v>3747.3988262161783</v>
      </c>
      <c r="G20" s="270">
        <f t="shared" ref="G20" si="13">+H20+I20+J20</f>
        <v>1231.0205144120146</v>
      </c>
      <c r="H20" s="269">
        <f t="shared" ref="H20" si="14">(U20*((100%-Q20)*$H$2))/12</f>
        <v>198.33333333333337</v>
      </c>
      <c r="I20">
        <v>275</v>
      </c>
      <c r="J20" s="270">
        <f>(L20*(1+MRate/12)*(1/(1+MRate/12)-1))/((1/(1+MRate/12))^(MortTerm*12)-1)</f>
        <v>757.68718107868108</v>
      </c>
      <c r="K20" s="271">
        <f>L20/U20</f>
        <v>0.45294117647058824</v>
      </c>
      <c r="L20" s="262">
        <f>P20-S20</f>
        <v>154000</v>
      </c>
      <c r="M20" s="262">
        <f>U20-P20</f>
        <v>136000</v>
      </c>
      <c r="N20" s="279">
        <f>L20/T20</f>
        <v>3.4245976818782857</v>
      </c>
      <c r="P20" s="262">
        <f>Q20*U20</f>
        <v>204000</v>
      </c>
      <c r="Q20" s="264">
        <v>0.6</v>
      </c>
      <c r="S20" s="263">
        <v>50000</v>
      </c>
      <c r="T20" s="262">
        <f>F20*12</f>
        <v>44968.78591459414</v>
      </c>
      <c r="U20" s="263">
        <v>340000</v>
      </c>
      <c r="W20" s="259" t="s">
        <v>66</v>
      </c>
      <c r="X20" s="259" t="s">
        <v>72</v>
      </c>
      <c r="Y20" s="259" t="s">
        <v>91</v>
      </c>
    </row>
    <row r="21" spans="2:25" x14ac:dyDescent="0.2">
      <c r="W21" s="284">
        <v>50000</v>
      </c>
      <c r="X21">
        <v>45</v>
      </c>
      <c r="Y21">
        <v>340</v>
      </c>
    </row>
    <row r="22" spans="2:25" x14ac:dyDescent="0.2">
      <c r="B22" s="264">
        <v>0.45</v>
      </c>
      <c r="C22" s="283">
        <f>VLOOKUP(T22,ETRTable,2,1)</f>
        <v>0.71500000000000008</v>
      </c>
      <c r="D22" s="283">
        <v>0.71499999999999997</v>
      </c>
      <c r="E22" s="278">
        <f>G22/B22</f>
        <v>2979.1666666666665</v>
      </c>
      <c r="F22" s="270">
        <f>E22/D22</f>
        <v>4166.666666666667</v>
      </c>
      <c r="G22" s="270">
        <f t="shared" ref="G22" si="15">+H22+I22+J22</f>
        <v>1340.625</v>
      </c>
      <c r="H22" s="269">
        <f t="shared" ref="H22" si="16">(U22*((100%-Q22)*$H$2))/12</f>
        <v>216.41803367703804</v>
      </c>
      <c r="I22">
        <v>275</v>
      </c>
      <c r="J22" s="270">
        <f>(L22*(1+MRate/12)*(1/(1+MRate/12)-1))/((1/(1+MRate/12))^(MortTerm*12)-1)</f>
        <v>849.20696632296188</v>
      </c>
      <c r="K22" s="271">
        <f>L22/U22</f>
        <v>0.46522996179610304</v>
      </c>
      <c r="L22" s="262">
        <f>P22-S22</f>
        <v>172601.40606781052</v>
      </c>
      <c r="M22" s="262">
        <f>U22-P22</f>
        <v>148400.93737854037</v>
      </c>
      <c r="N22" s="279">
        <f>L22/T22</f>
        <v>3.4520281213562103</v>
      </c>
      <c r="P22" s="262">
        <f>Q22*U22</f>
        <v>222601.40606781052</v>
      </c>
      <c r="Q22" s="264">
        <v>0.6</v>
      </c>
      <c r="S22" s="263">
        <v>50000</v>
      </c>
      <c r="T22" s="262">
        <f>F22*12</f>
        <v>50000</v>
      </c>
      <c r="U22" s="263">
        <v>371002.34344635089</v>
      </c>
      <c r="X22">
        <v>50</v>
      </c>
      <c r="Y22">
        <v>371</v>
      </c>
    </row>
    <row r="23" spans="2:25" x14ac:dyDescent="0.2">
      <c r="X23">
        <v>55</v>
      </c>
      <c r="Y23">
        <v>408</v>
      </c>
    </row>
    <row r="24" spans="2:25" x14ac:dyDescent="0.2">
      <c r="B24" s="264">
        <v>0.45</v>
      </c>
      <c r="C24" s="283">
        <f>VLOOKUP(T24,ETRTable,2,1)</f>
        <v>0.71500000000000008</v>
      </c>
      <c r="D24" s="283">
        <v>0.71499999999999997</v>
      </c>
      <c r="E24" s="278">
        <f>G24/B24</f>
        <v>3277.0833333333326</v>
      </c>
      <c r="F24" s="270">
        <f>E24/D24</f>
        <v>4583.3333333333321</v>
      </c>
      <c r="G24" s="270">
        <f t="shared" ref="G24" si="17">+H24+I24+J24</f>
        <v>1474.6874999999998</v>
      </c>
      <c r="H24" s="269">
        <f t="shared" ref="H24" si="18">(U24*((100%-Q24)*$H$2))/12</f>
        <v>238.53829752227682</v>
      </c>
      <c r="I24">
        <v>275</v>
      </c>
      <c r="J24" s="270">
        <f>(L24*(1+MRate/12)*(1/(1+MRate/12)-1))/((1/(1+MRate/12))^(MortTerm*12)-1)</f>
        <v>961.14920247772295</v>
      </c>
      <c r="K24" s="271">
        <f>L24/U24</f>
        <v>0.47772753067484758</v>
      </c>
      <c r="L24" s="262">
        <f>P24-S24</f>
        <v>195353.67745148469</v>
      </c>
      <c r="M24" s="262">
        <f>U24-P24</f>
        <v>163569.11830098982</v>
      </c>
      <c r="N24" s="279">
        <f>L24/T24</f>
        <v>3.5518850445724497</v>
      </c>
      <c r="P24" s="262">
        <f>Q24*U24</f>
        <v>245353.67745148469</v>
      </c>
      <c r="Q24" s="264">
        <v>0.6</v>
      </c>
      <c r="S24" s="263">
        <v>50000</v>
      </c>
      <c r="T24" s="262">
        <f>F24*12</f>
        <v>54999.999999999985</v>
      </c>
      <c r="U24" s="263">
        <v>408922.79575247451</v>
      </c>
      <c r="W24" s="259" t="s">
        <v>92</v>
      </c>
      <c r="X24">
        <v>60</v>
      </c>
      <c r="Y24">
        <v>439</v>
      </c>
    </row>
    <row r="25" spans="2:25" x14ac:dyDescent="0.2">
      <c r="W25" s="259" t="s">
        <v>93</v>
      </c>
      <c r="X25">
        <v>65</v>
      </c>
      <c r="Y25">
        <v>469</v>
      </c>
    </row>
    <row r="26" spans="2:25" x14ac:dyDescent="0.2">
      <c r="B26" s="264">
        <v>0.45</v>
      </c>
      <c r="C26" s="283">
        <f>VLOOKUP(T26,ETRTable,2,1)</f>
        <v>0.70300000000000007</v>
      </c>
      <c r="D26" s="283">
        <v>0.70299999999999996</v>
      </c>
      <c r="E26" s="278">
        <f>G26/B26</f>
        <v>3514.9999999999991</v>
      </c>
      <c r="F26" s="270">
        <f>E26/D26</f>
        <v>4999.9999999999991</v>
      </c>
      <c r="G26" s="270">
        <f t="shared" ref="G26" si="19">+H26+I26+J26</f>
        <v>1581.7499999999995</v>
      </c>
      <c r="H26" s="269">
        <f t="shared" ref="H26" si="20">(U26*((100%-Q26)*$H$2))/12</f>
        <v>256.20357116651638</v>
      </c>
      <c r="I26">
        <v>275</v>
      </c>
      <c r="J26" s="270">
        <f>(L26*(1+MRate/12)*(1/(1+MRate/12)-1))/((1/(1+MRate/12))^(MortTerm*12)-1)</f>
        <v>1050.5464288334831</v>
      </c>
      <c r="K26" s="271">
        <f>L26/U26</f>
        <v>0.48615823528974095</v>
      </c>
      <c r="L26" s="262">
        <f>P26-S26</f>
        <v>213523.67319984542</v>
      </c>
      <c r="M26" s="262">
        <f>U26-P26</f>
        <v>175682.44879989693</v>
      </c>
      <c r="N26" s="279">
        <f>L26/T26</f>
        <v>3.5587278866640912</v>
      </c>
      <c r="P26" s="262">
        <f>Q26*U26</f>
        <v>263523.67319984542</v>
      </c>
      <c r="Q26" s="264">
        <v>0.6</v>
      </c>
      <c r="S26" s="263">
        <v>50000</v>
      </c>
      <c r="T26" s="262">
        <f>F26*12</f>
        <v>59999.999999999985</v>
      </c>
      <c r="U26" s="263">
        <v>439206.12199974235</v>
      </c>
      <c r="W26" s="285" t="s">
        <v>97</v>
      </c>
      <c r="X26">
        <v>70</v>
      </c>
      <c r="Y26">
        <v>501</v>
      </c>
    </row>
    <row r="27" spans="2:25" x14ac:dyDescent="0.2">
      <c r="X27">
        <v>75</v>
      </c>
      <c r="Y27">
        <v>524</v>
      </c>
    </row>
    <row r="28" spans="2:25" x14ac:dyDescent="0.2">
      <c r="B28" s="264">
        <v>0.45</v>
      </c>
      <c r="C28" s="283">
        <f>VLOOKUP(T28,ETRTable,2,1)</f>
        <v>0.69300000000000006</v>
      </c>
      <c r="D28" s="283">
        <v>0.69299999999999995</v>
      </c>
      <c r="E28" s="278">
        <f>G28/B28</f>
        <v>3753.7499999999932</v>
      </c>
      <c r="F28" s="270">
        <f>E28/D28</f>
        <v>5416.666666666657</v>
      </c>
      <c r="G28" s="270">
        <f t="shared" ref="G28" si="21">+H28+I28+J28</f>
        <v>1689.187499999997</v>
      </c>
      <c r="H28" s="269">
        <f t="shared" ref="H28" si="22">(U28*((100%-Q28)*$H$2))/12</f>
        <v>273.93071967465841</v>
      </c>
      <c r="I28">
        <v>275</v>
      </c>
      <c r="J28" s="270">
        <f>(L28*(1+MRate/12)*(1/(1+MRate/12)-1))/((1/(1+MRate/12))^(MortTerm*12)-1)</f>
        <v>1140.2567803253387</v>
      </c>
      <c r="K28" s="271">
        <f>L28/U28</f>
        <v>0.49352538955358027</v>
      </c>
      <c r="L28" s="262">
        <f>P28-S28</f>
        <v>231757.31166536291</v>
      </c>
      <c r="M28" s="262">
        <f>U28-P28</f>
        <v>187838.20777690859</v>
      </c>
      <c r="N28" s="279">
        <f>L28/T28</f>
        <v>3.5654971025440512</v>
      </c>
      <c r="P28" s="262">
        <f>Q28*U28</f>
        <v>281757.31166536291</v>
      </c>
      <c r="Q28" s="264">
        <v>0.6</v>
      </c>
      <c r="S28" s="263">
        <v>50000</v>
      </c>
      <c r="T28" s="262">
        <f>F28*12</f>
        <v>64999.999999999884</v>
      </c>
      <c r="U28" s="263">
        <v>469595.5194422715</v>
      </c>
      <c r="X28">
        <v>80</v>
      </c>
      <c r="Y28">
        <v>556</v>
      </c>
    </row>
    <row r="29" spans="2:25" x14ac:dyDescent="0.2">
      <c r="X29">
        <v>85</v>
      </c>
      <c r="Y29">
        <v>591</v>
      </c>
    </row>
    <row r="30" spans="2:25" x14ac:dyDescent="0.2">
      <c r="B30" s="264">
        <v>0.45</v>
      </c>
      <c r="C30" s="283">
        <f>VLOOKUP(T30,ETRTable,2,1)</f>
        <v>0.68399999999999994</v>
      </c>
      <c r="D30" s="283">
        <v>0.68400000000000005</v>
      </c>
      <c r="E30" s="278">
        <f>G30/B30</f>
        <v>4004.4030360650468</v>
      </c>
      <c r="F30" s="270">
        <f>E30/D30</f>
        <v>5854.3904036038693</v>
      </c>
      <c r="G30" s="270">
        <f t="shared" ref="G30" si="23">+H30+I30+J30</f>
        <v>1801.9813662292711</v>
      </c>
      <c r="H30" s="269">
        <f t="shared" ref="H30" si="24">(U30*((100%-Q30)*$H$2))/12</f>
        <v>292.54166666666669</v>
      </c>
      <c r="I30">
        <v>275</v>
      </c>
      <c r="J30" s="270">
        <f>(L30*(1+MRate/12)*(1/(1+MRate/12)-1))/((1/(1+MRate/12))^(MortTerm*12)-1)</f>
        <v>1234.4396995626043</v>
      </c>
      <c r="K30" s="271">
        <f>L30/U30</f>
        <v>0.50029910269192424</v>
      </c>
      <c r="L30" s="262">
        <f>P30-S30</f>
        <v>250900</v>
      </c>
      <c r="M30" s="262">
        <f>U30-P30</f>
        <v>200600</v>
      </c>
      <c r="N30" s="279">
        <f>L30/T30</f>
        <v>3.5713937561223279</v>
      </c>
      <c r="P30" s="262">
        <f>Q30*U30</f>
        <v>300900</v>
      </c>
      <c r="Q30" s="264">
        <v>0.6</v>
      </c>
      <c r="S30" s="263">
        <v>50000</v>
      </c>
      <c r="T30" s="262">
        <f>F30*12</f>
        <v>70252.684843246432</v>
      </c>
      <c r="U30" s="263">
        <v>501500</v>
      </c>
      <c r="X30">
        <v>90</v>
      </c>
      <c r="Y30">
        <v>626</v>
      </c>
    </row>
    <row r="31" spans="2:25" x14ac:dyDescent="0.2">
      <c r="X31">
        <v>95</v>
      </c>
      <c r="Y31">
        <v>661</v>
      </c>
    </row>
    <row r="32" spans="2:25" x14ac:dyDescent="0.2">
      <c r="B32" s="264">
        <v>0.45</v>
      </c>
      <c r="C32" s="283">
        <f>VLOOKUP(T32,ETRTable,2,1)</f>
        <v>0.68399999999999994</v>
      </c>
      <c r="D32" s="283">
        <v>0.67</v>
      </c>
      <c r="E32" s="278">
        <f>G32/B32</f>
        <v>4187.4999999999991</v>
      </c>
      <c r="F32" s="270">
        <f>E32/D32</f>
        <v>6249.9999999999982</v>
      </c>
      <c r="G32" s="270">
        <f t="shared" ref="G32" si="25">+H32+I32+J32</f>
        <v>1884.3749999999998</v>
      </c>
      <c r="H32" s="269">
        <f t="shared" ref="H32" si="26">(U32*((100%-Q32)*$H$2))/12</f>
        <v>306.13658633604854</v>
      </c>
      <c r="I32">
        <v>275</v>
      </c>
      <c r="J32" s="270">
        <f>(L32*(1+MRate/12)*(1/(1+MRate/12)-1))/((1/(1+MRate/12))^(MortTerm*12)-1)</f>
        <v>1303.2384136639512</v>
      </c>
      <c r="K32" s="271">
        <f>L32/U32</f>
        <v>0.50472662214032071</v>
      </c>
      <c r="L32" s="262">
        <f>P32-S32</f>
        <v>264883.34594564984</v>
      </c>
      <c r="M32" s="262">
        <f>U32-P32</f>
        <v>209922.23063043325</v>
      </c>
      <c r="N32" s="279">
        <f>L32/T32</f>
        <v>3.5317779459419993</v>
      </c>
      <c r="P32" s="262">
        <f>Q32*U32</f>
        <v>314883.34594564984</v>
      </c>
      <c r="Q32" s="264">
        <v>0.6</v>
      </c>
      <c r="S32" s="263">
        <v>50000</v>
      </c>
      <c r="T32" s="262">
        <f>F32*12</f>
        <v>74999.999999999971</v>
      </c>
      <c r="U32" s="263">
        <v>524805.57657608308</v>
      </c>
      <c r="X32">
        <v>100</v>
      </c>
      <c r="Y32">
        <v>697</v>
      </c>
    </row>
    <row r="33" spans="2:25" x14ac:dyDescent="0.2">
      <c r="W33" s="284">
        <v>70000</v>
      </c>
      <c r="X33">
        <v>45</v>
      </c>
      <c r="Y33">
        <v>368</v>
      </c>
    </row>
    <row r="34" spans="2:25" x14ac:dyDescent="0.2">
      <c r="B34" s="264">
        <v>0.45</v>
      </c>
      <c r="C34" s="283">
        <f>VLOOKUP(T34,ETRTable,2,1)</f>
        <v>0.66500000000000004</v>
      </c>
      <c r="D34" s="283">
        <v>0.66500000000000004</v>
      </c>
      <c r="E34" s="278">
        <f>G34/B34</f>
        <v>4433.3333333333339</v>
      </c>
      <c r="F34" s="270">
        <f>E34/D34</f>
        <v>6666.666666666667</v>
      </c>
      <c r="G34" s="270">
        <f t="shared" ref="G34" si="27">+H34+I34+J34</f>
        <v>1995.0000000000005</v>
      </c>
      <c r="H34" s="269">
        <f t="shared" ref="H34" si="28">(U34*((100%-Q34)*$H$2))/12</f>
        <v>324.38967118736451</v>
      </c>
      <c r="I34">
        <v>275</v>
      </c>
      <c r="J34" s="270">
        <f>(L34*(1+MRate/12)*(1/(1+MRate/12)-1))/((1/(1+MRate/12))^(MortTerm*12)-1)</f>
        <v>1395.610328812636</v>
      </c>
      <c r="K34" s="271">
        <f>L34/U34</f>
        <v>0.51008756055669757</v>
      </c>
      <c r="L34" s="262">
        <f>P34-S34</f>
        <v>283657.94750700344</v>
      </c>
      <c r="M34" s="262">
        <f>U34-P34</f>
        <v>222438.63167133566</v>
      </c>
      <c r="N34" s="279">
        <f>L34/T34</f>
        <v>3.5457243438375432</v>
      </c>
      <c r="P34" s="262">
        <f>Q34*U34</f>
        <v>333657.94750700344</v>
      </c>
      <c r="Q34" s="264">
        <v>0.6</v>
      </c>
      <c r="S34" s="263">
        <v>50000</v>
      </c>
      <c r="T34" s="262">
        <f>F34*12</f>
        <v>80000</v>
      </c>
      <c r="U34" s="263">
        <v>556096.5791783391</v>
      </c>
      <c r="X34">
        <v>50</v>
      </c>
      <c r="Y34">
        <v>398</v>
      </c>
    </row>
    <row r="35" spans="2:25" x14ac:dyDescent="0.2">
      <c r="W35" s="259" t="s">
        <v>94</v>
      </c>
      <c r="X35">
        <v>55</v>
      </c>
      <c r="Y35">
        <v>429</v>
      </c>
    </row>
    <row r="36" spans="2:25" x14ac:dyDescent="0.2">
      <c r="B36" s="264">
        <v>0.45</v>
      </c>
      <c r="C36" s="283">
        <f>VLOOKUP(T36,ETRTable,2,1)</f>
        <v>0.66500000000000004</v>
      </c>
      <c r="D36" s="283">
        <v>0.66500000000000004</v>
      </c>
      <c r="E36" s="278">
        <f>G36/B36</f>
        <v>4710.4166666666688</v>
      </c>
      <c r="F36" s="270">
        <f>E36/D36</f>
        <v>7083.3333333333358</v>
      </c>
      <c r="G36" s="270">
        <f t="shared" ref="G36" si="29">+H36+I36+J36</f>
        <v>2119.6875000000009</v>
      </c>
      <c r="H36" s="269">
        <f t="shared" ref="H36" si="30">(U36*((100%-Q36)*$H$2))/12</f>
        <v>344.96306343503426</v>
      </c>
      <c r="I36">
        <v>275</v>
      </c>
      <c r="J36" s="270">
        <f>(L36*(1+MRate/12)*(1/(1+MRate/12)-1))/((1/(1+MRate/12))^(MortTerm*12)-1)</f>
        <v>1499.7244365649667</v>
      </c>
      <c r="K36" s="271">
        <f>L36/U36</f>
        <v>0.5154498850507816</v>
      </c>
      <c r="L36" s="262">
        <f>P36-S36</f>
        <v>304819.15096174949</v>
      </c>
      <c r="M36" s="262">
        <f>U36-P36</f>
        <v>236546.10064116633</v>
      </c>
      <c r="N36" s="279">
        <f>L36/T36</f>
        <v>3.5861076583735221</v>
      </c>
      <c r="P36" s="262">
        <f>Q36*U36</f>
        <v>354819.15096174949</v>
      </c>
      <c r="Q36" s="264">
        <v>0.6</v>
      </c>
      <c r="S36" s="263">
        <v>50000</v>
      </c>
      <c r="T36" s="262">
        <f>F36*12</f>
        <v>85000.000000000029</v>
      </c>
      <c r="U36" s="263">
        <v>591365.25160291581</v>
      </c>
      <c r="W36" s="259" t="s">
        <v>95</v>
      </c>
      <c r="X36">
        <v>60</v>
      </c>
      <c r="Y36">
        <v>461</v>
      </c>
    </row>
    <row r="37" spans="2:25" x14ac:dyDescent="0.2">
      <c r="W37" s="285" t="s">
        <v>96</v>
      </c>
      <c r="X37">
        <v>65</v>
      </c>
      <c r="Y37">
        <v>491</v>
      </c>
    </row>
    <row r="38" spans="2:25" x14ac:dyDescent="0.2">
      <c r="B38" s="264">
        <v>0.45</v>
      </c>
      <c r="C38" s="283">
        <f>VLOOKUP(T38,ETRTable,2,1)</f>
        <v>0.66500000000000004</v>
      </c>
      <c r="D38" s="283">
        <v>0.66500000000000004</v>
      </c>
      <c r="E38" s="278">
        <f>G38/B38</f>
        <v>4987.5000000000009</v>
      </c>
      <c r="F38" s="270">
        <f>E38/D38</f>
        <v>7500.0000000000009</v>
      </c>
      <c r="G38" s="270">
        <f t="shared" ref="G38" si="31">+H38+I38+J38</f>
        <v>2244.3750000000005</v>
      </c>
      <c r="H38" s="269">
        <f t="shared" ref="H38" si="32">(U38*((100%-Q38)*$H$2))/12</f>
        <v>365.53645568270377</v>
      </c>
      <c r="I38">
        <v>275</v>
      </c>
      <c r="J38" s="270">
        <f>(L38*(1+MRate/12)*(1/(1+MRate/12)-1))/((1/(1+MRate/12))^(MortTerm*12)-1)</f>
        <v>1603.8385443172967</v>
      </c>
      <c r="K38" s="271">
        <f>L38/U38</f>
        <v>0.52020859694502219</v>
      </c>
      <c r="L38" s="262">
        <f>P38-S38</f>
        <v>325980.35441649531</v>
      </c>
      <c r="M38" s="262">
        <f>U38-P38</f>
        <v>250653.56961099687</v>
      </c>
      <c r="N38" s="279">
        <f>L38/T38</f>
        <v>3.6220039379610585</v>
      </c>
      <c r="P38" s="262">
        <f>Q38*U38</f>
        <v>375980.35441649531</v>
      </c>
      <c r="Q38" s="264">
        <v>0.6</v>
      </c>
      <c r="S38" s="263">
        <v>50000</v>
      </c>
      <c r="T38" s="262">
        <f>F38*12</f>
        <v>90000.000000000015</v>
      </c>
      <c r="U38" s="263">
        <v>626633.92402749218</v>
      </c>
      <c r="X38">
        <v>70</v>
      </c>
      <c r="Y38">
        <v>517</v>
      </c>
    </row>
    <row r="39" spans="2:25" x14ac:dyDescent="0.2">
      <c r="X39">
        <v>75</v>
      </c>
      <c r="Y39">
        <v>564</v>
      </c>
    </row>
    <row r="40" spans="2:25" x14ac:dyDescent="0.2">
      <c r="B40" s="264">
        <v>0.45</v>
      </c>
      <c r="C40" s="283">
        <f>VLOOKUP(T40,ETRTable,2,1)</f>
        <v>0.66500000000000004</v>
      </c>
      <c r="D40" s="283">
        <v>0.66500000000000004</v>
      </c>
      <c r="E40" s="278">
        <f>G40/B40</f>
        <v>5264.583333333333</v>
      </c>
      <c r="F40" s="270">
        <f>E40/D40</f>
        <v>7916.6666666666661</v>
      </c>
      <c r="G40" s="270">
        <f t="shared" ref="G40" si="33">+H40+I40+J40</f>
        <v>2369.0625</v>
      </c>
      <c r="H40" s="269">
        <f t="shared" ref="H40" si="34">(U40*((100%-Q40)*$H$2))/12</f>
        <v>386.10984793037329</v>
      </c>
      <c r="I40">
        <v>275</v>
      </c>
      <c r="J40" s="270">
        <f>(L40*(1+MRate/12)*(1/(1+MRate/12)-1))/((1/(1+MRate/12))^(MortTerm*12)-1)</f>
        <v>1707.9526520696265</v>
      </c>
      <c r="K40" s="271">
        <f>L40/U40</f>
        <v>0.52446018452260179</v>
      </c>
      <c r="L40" s="262">
        <f>P40-S40</f>
        <v>347141.55787124106</v>
      </c>
      <c r="M40" s="262">
        <f>U40-P40</f>
        <v>264761.03858082736</v>
      </c>
      <c r="N40" s="279">
        <f>L40/T40</f>
        <v>3.6541216618025376</v>
      </c>
      <c r="P40" s="262">
        <f>Q40*U40</f>
        <v>397141.55787124106</v>
      </c>
      <c r="Q40" s="264">
        <v>0.6</v>
      </c>
      <c r="S40" s="263">
        <v>50000</v>
      </c>
      <c r="T40" s="262">
        <f>F40*12</f>
        <v>95000</v>
      </c>
      <c r="U40" s="263">
        <v>661902.59645206842</v>
      </c>
      <c r="X40">
        <v>80</v>
      </c>
      <c r="Y40">
        <v>583</v>
      </c>
    </row>
    <row r="41" spans="2:25" x14ac:dyDescent="0.2">
      <c r="X41">
        <v>85</v>
      </c>
      <c r="Y41">
        <v>619</v>
      </c>
    </row>
    <row r="42" spans="2:25" x14ac:dyDescent="0.2">
      <c r="X42">
        <v>90</v>
      </c>
      <c r="Y42">
        <v>654</v>
      </c>
    </row>
    <row r="44" spans="2:25" x14ac:dyDescent="0.2">
      <c r="B44" s="264">
        <v>0.45</v>
      </c>
      <c r="C44" s="283">
        <f>VLOOKUP(T44,ETRTable,2,1)</f>
        <v>0.73</v>
      </c>
      <c r="D44" s="283">
        <v>0.73</v>
      </c>
      <c r="E44" s="278">
        <f>G44/B44</f>
        <v>2737.5000000000032</v>
      </c>
      <c r="F44" s="270">
        <f>E44/D44</f>
        <v>3750.0000000000045</v>
      </c>
      <c r="G44" s="270">
        <f t="shared" ref="G44" si="35">+H44+I44+J44</f>
        <v>1231.8750000000014</v>
      </c>
      <c r="H44" s="269">
        <f t="shared" ref="H44" si="36">(U44*((100%-Q44)*$H$2))/12</f>
        <v>214.71044131324095</v>
      </c>
      <c r="I44">
        <v>275</v>
      </c>
      <c r="J44" s="270">
        <f>(L44*(1+MRate/12)*(1/(1+MRate/12)-1))/((1/(1+MRate/12))^(MortTerm*12)-1)</f>
        <v>742.16455868676053</v>
      </c>
      <c r="K44" s="271">
        <f>L44/U44</f>
        <v>0.40982138975830429</v>
      </c>
      <c r="L44" s="262">
        <f>P44-S44</f>
        <v>150845.02535076209</v>
      </c>
      <c r="M44" s="262">
        <f>U44-P44</f>
        <v>147230.01690050805</v>
      </c>
      <c r="N44" s="279">
        <f>L44/T44</f>
        <v>3.3521116744613755</v>
      </c>
      <c r="P44" s="262">
        <f>Q44*U44</f>
        <v>220845.02535076209</v>
      </c>
      <c r="Q44" s="264">
        <v>0.6</v>
      </c>
      <c r="S44" s="263">
        <v>70000</v>
      </c>
      <c r="T44" s="262">
        <f>F44*12</f>
        <v>45000.000000000058</v>
      </c>
      <c r="U44" s="263">
        <v>368075.04225127015</v>
      </c>
      <c r="Y44" s="259">
        <f>0.93*527</f>
        <v>490.11</v>
      </c>
    </row>
    <row r="46" spans="2:25" x14ac:dyDescent="0.2">
      <c r="B46" s="264">
        <v>0.45</v>
      </c>
      <c r="C46" s="283">
        <f>VLOOKUP(T46,ETRTable,2,1)</f>
        <v>0.73</v>
      </c>
      <c r="D46" s="283">
        <v>0.73</v>
      </c>
      <c r="E46" s="278">
        <f>G46/B46</f>
        <v>2737.5000000000041</v>
      </c>
      <c r="F46" s="270">
        <f>E46/D46</f>
        <v>3750.0000000000059</v>
      </c>
      <c r="G46" s="270">
        <f t="shared" ref="G46" si="37">+H46+I46+J46</f>
        <v>1231.8750000000018</v>
      </c>
      <c r="H46" s="269">
        <f t="shared" ref="H46" si="38">(U46*((100%-Q46)*$H$2))/12</f>
        <v>214.71044131324103</v>
      </c>
      <c r="I46">
        <v>275</v>
      </c>
      <c r="J46" s="270">
        <f>(L46*(1+MRate/12)*(1/(1+MRate/12)-1))/((1/(1+MRate/12))^(MortTerm*12)-1)</f>
        <v>742.16455868676087</v>
      </c>
      <c r="K46" s="271">
        <f>L46/U46</f>
        <v>0.40982138975830429</v>
      </c>
      <c r="L46" s="262">
        <f>P46-S46</f>
        <v>150845.02535076215</v>
      </c>
      <c r="M46" s="262">
        <f>U46-P46</f>
        <v>147230.01690050811</v>
      </c>
      <c r="N46" s="279">
        <f>L46/T46</f>
        <v>3.3521116744613759</v>
      </c>
      <c r="P46" s="262">
        <f>Q46*U46</f>
        <v>220845.02535076215</v>
      </c>
      <c r="Q46" s="264">
        <v>0.6</v>
      </c>
      <c r="S46" s="263">
        <v>70000</v>
      </c>
      <c r="T46" s="262">
        <f>F46*12</f>
        <v>45000.000000000073</v>
      </c>
      <c r="U46" s="263">
        <v>368075.04225127026</v>
      </c>
    </row>
    <row r="48" spans="2:25" x14ac:dyDescent="0.2">
      <c r="B48" s="264">
        <v>0.45</v>
      </c>
      <c r="C48" s="283">
        <f>VLOOKUP(T48,ETRTable,2,1)</f>
        <v>0.71500000000000008</v>
      </c>
      <c r="D48" s="283">
        <v>0.71499999999999997</v>
      </c>
      <c r="E48" s="278">
        <f>G48/B48</f>
        <v>2979.1666666666688</v>
      </c>
      <c r="F48" s="270">
        <f>E48/D48</f>
        <v>4166.6666666666697</v>
      </c>
      <c r="G48" s="270">
        <f t="shared" ref="G48" si="39">+H48+I48+J48</f>
        <v>1340.6250000000009</v>
      </c>
      <c r="H48" s="269">
        <f t="shared" ref="H48" si="40">(U48*((100%-Q48)*$H$2))/12</f>
        <v>232.65415184504295</v>
      </c>
      <c r="I48">
        <v>275</v>
      </c>
      <c r="J48" s="270">
        <f>(L48*(1+MRate/12)*(1/(1+MRate/12)-1))/((1/(1+MRate/12))^(MortTerm*12)-1)</f>
        <v>832.97084815495782</v>
      </c>
      <c r="K48" s="271">
        <f>L48/U48</f>
        <v>0.42448912684554196</v>
      </c>
      <c r="L48" s="262">
        <f>P48-S48</f>
        <v>169301.41332632984</v>
      </c>
      <c r="M48" s="262">
        <f>U48-P48</f>
        <v>159534.27555088658</v>
      </c>
      <c r="N48" s="279">
        <f>L48/T48</f>
        <v>3.3860282665265946</v>
      </c>
      <c r="P48" s="262">
        <f>Q48*U48</f>
        <v>239301.41332632984</v>
      </c>
      <c r="Q48" s="264">
        <v>0.6</v>
      </c>
      <c r="S48" s="263">
        <v>70000</v>
      </c>
      <c r="T48" s="262">
        <f>F48*12</f>
        <v>50000.000000000036</v>
      </c>
      <c r="U48" s="263">
        <v>398835.68887721642</v>
      </c>
    </row>
    <row r="50" spans="2:21" x14ac:dyDescent="0.2">
      <c r="B50" s="264">
        <v>0.45</v>
      </c>
      <c r="C50" s="283">
        <f>VLOOKUP(T50,ETRTable,2,1)</f>
        <v>0.70300000000000007</v>
      </c>
      <c r="D50" s="283">
        <v>0.70299999999999996</v>
      </c>
      <c r="E50" s="278">
        <f>G50/B50</f>
        <v>3222.083333333333</v>
      </c>
      <c r="F50" s="270">
        <f>E50/D50</f>
        <v>4583.333333333333</v>
      </c>
      <c r="G50" s="270">
        <f t="shared" ref="G50" si="41">+H50+I50+J50</f>
        <v>1449.9375</v>
      </c>
      <c r="H50" s="269">
        <f t="shared" ref="H50" si="42">(U50*((100%-Q50)*$H$2))/12</f>
        <v>250.69067467269906</v>
      </c>
      <c r="I50">
        <v>275</v>
      </c>
      <c r="J50" s="270">
        <f>(L50*(1+MRate/12)*(1/(1+MRate/12)-1))/((1/(1+MRate/12))^(MortTerm*12)-1)</f>
        <v>924.24682532730094</v>
      </c>
      <c r="K50" s="271">
        <f>L50/U50</f>
        <v>0.43711666424510914</v>
      </c>
      <c r="L50" s="262">
        <f>P50-S50</f>
        <v>187853.26537763327</v>
      </c>
      <c r="M50" s="262">
        <f>U50-P50</f>
        <v>171902.17691842222</v>
      </c>
      <c r="N50" s="279">
        <f>L50/T50</f>
        <v>3.4155139159569687</v>
      </c>
      <c r="P50" s="262">
        <f>Q50*U50</f>
        <v>257853.26537763327</v>
      </c>
      <c r="Q50" s="264">
        <v>0.6</v>
      </c>
      <c r="S50" s="263">
        <v>70000</v>
      </c>
      <c r="T50" s="262">
        <f>F50*12</f>
        <v>55000</v>
      </c>
      <c r="U50" s="263">
        <v>429755.44229605549</v>
      </c>
    </row>
    <row r="52" spans="2:21" x14ac:dyDescent="0.2">
      <c r="B52" s="264">
        <v>0.45</v>
      </c>
      <c r="C52" s="283">
        <f>VLOOKUP(T52,ETRTable,2,1)</f>
        <v>0.69300000000000006</v>
      </c>
      <c r="D52" s="283">
        <v>0.70299999999999996</v>
      </c>
      <c r="E52" s="278">
        <f>G52/B52</f>
        <v>3514.9999999999995</v>
      </c>
      <c r="F52" s="270">
        <f>E52/D52</f>
        <v>5000</v>
      </c>
      <c r="G52" s="270">
        <f t="shared" ref="G52" si="43">+H52+I52+J52</f>
        <v>1581.7499999999998</v>
      </c>
      <c r="H52" s="269">
        <f t="shared" ref="H52" si="44">(U52*((100%-Q52)*$H$2))/12</f>
        <v>272.43968933452123</v>
      </c>
      <c r="I52">
        <v>275</v>
      </c>
      <c r="J52" s="270">
        <f>(L52*(1+MRate/12)*(1/(1+MRate/12)-1))/((1/(1+MRate/12))^(MortTerm*12)-1)</f>
        <v>1034.3103106654785</v>
      </c>
      <c r="K52" s="271">
        <f>L52/U52</f>
        <v>0.45011973316708925</v>
      </c>
      <c r="L52" s="262">
        <f>P52-S52</f>
        <v>210223.6804583646</v>
      </c>
      <c r="M52" s="262">
        <f>U52-P52</f>
        <v>186815.78697224311</v>
      </c>
      <c r="N52" s="279">
        <f>L52/T52</f>
        <v>3.5037280076394102</v>
      </c>
      <c r="P52" s="262">
        <f>Q52*U52</f>
        <v>280223.6804583646</v>
      </c>
      <c r="Q52" s="264">
        <v>0.6</v>
      </c>
      <c r="S52" s="263">
        <v>70000</v>
      </c>
      <c r="T52" s="262">
        <f>F52*12</f>
        <v>60000</v>
      </c>
      <c r="U52" s="263">
        <v>467039.46743060771</v>
      </c>
    </row>
    <row r="54" spans="2:21" x14ac:dyDescent="0.2">
      <c r="B54" s="264">
        <v>0.45</v>
      </c>
      <c r="C54" s="283">
        <f>VLOOKUP(T54,ETRTable,2,1)</f>
        <v>0.69300000000000006</v>
      </c>
      <c r="D54" s="283">
        <v>0.69299999999999995</v>
      </c>
      <c r="E54" s="278">
        <f>G54/B54</f>
        <v>3753.7499999999995</v>
      </c>
      <c r="F54" s="270">
        <f>E54/D54</f>
        <v>5416.6666666666661</v>
      </c>
      <c r="G54" s="270">
        <f t="shared" ref="G54" si="45">+H54+I54+J54</f>
        <v>1689.1874999999998</v>
      </c>
      <c r="H54" s="269">
        <f t="shared" ref="H54" si="46">(U54*((100%-Q54)*$H$2))/12</f>
        <v>290.1668378426636</v>
      </c>
      <c r="I54">
        <v>275</v>
      </c>
      <c r="J54" s="270">
        <f>(L54*(1+MRate/12)*(1/(1+MRate/12)-1))/((1/(1+MRate/12))^(MortTerm*12)-1)</f>
        <v>1124.0206621573361</v>
      </c>
      <c r="K54" s="271">
        <f>L54/U54</f>
        <v>0.4592763610172631</v>
      </c>
      <c r="L54" s="262">
        <f>P54-S54</f>
        <v>228457.3189238825</v>
      </c>
      <c r="M54" s="262">
        <f>U54-P54</f>
        <v>198971.54594925506</v>
      </c>
      <c r="N54" s="279">
        <f>L54/T54</f>
        <v>3.5147279834443466</v>
      </c>
      <c r="P54" s="262">
        <f>Q54*U54</f>
        <v>298457.3189238825</v>
      </c>
      <c r="Q54" s="264">
        <v>0.6</v>
      </c>
      <c r="S54" s="263">
        <v>70000</v>
      </c>
      <c r="T54" s="262">
        <f>F54*12</f>
        <v>64999.999999999993</v>
      </c>
      <c r="U54" s="263">
        <v>497428.86487313756</v>
      </c>
    </row>
    <row r="56" spans="2:21" x14ac:dyDescent="0.2">
      <c r="B56" s="264">
        <v>0.45</v>
      </c>
      <c r="C56" s="283">
        <f>VLOOKUP(T56,ETRTable,2,1)</f>
        <v>0.68399999999999994</v>
      </c>
      <c r="D56" s="283">
        <v>0.68400000000000005</v>
      </c>
      <c r="E56" s="278">
        <f>G56/B56</f>
        <v>3989.9999999999982</v>
      </c>
      <c r="F56" s="270">
        <f>E56/D56</f>
        <v>5833.3333333333303</v>
      </c>
      <c r="G56" s="270">
        <f t="shared" ref="G56" si="47">+H56+I56+J56</f>
        <v>1795.4999999999993</v>
      </c>
      <c r="H56" s="269">
        <f t="shared" ref="H56" si="48">(U56*((100%-Q56)*$H$2))/12</f>
        <v>307.70836175909767</v>
      </c>
      <c r="I56">
        <v>275</v>
      </c>
      <c r="J56" s="270">
        <f>(L56*(1+MRate/12)*(1/(1+MRate/12)-1))/((1/(1+MRate/12))^(MortTerm*12)-1)</f>
        <v>1212.7916382409016</v>
      </c>
      <c r="K56" s="271">
        <f>L56/U56</f>
        <v>0.46729859045786537</v>
      </c>
      <c r="L56" s="262">
        <f>P56-S56</f>
        <v>246500.02923792897</v>
      </c>
      <c r="M56" s="262">
        <f>U56-P56</f>
        <v>211000.01949195267</v>
      </c>
      <c r="N56" s="279">
        <f>L56/T56</f>
        <v>3.5214289891132724</v>
      </c>
      <c r="P56" s="262">
        <f>Q56*U56</f>
        <v>316500.02923792897</v>
      </c>
      <c r="Q56" s="264">
        <v>0.6</v>
      </c>
      <c r="S56" s="263">
        <v>70000</v>
      </c>
      <c r="T56" s="262">
        <f>F56*12</f>
        <v>69999.999999999971</v>
      </c>
      <c r="U56" s="263">
        <v>527500.04872988164</v>
      </c>
    </row>
    <row r="58" spans="2:21" x14ac:dyDescent="0.2">
      <c r="B58" s="264">
        <v>0.45</v>
      </c>
      <c r="C58" s="283">
        <f>VLOOKUP(T58,ETRTable,2,1)</f>
        <v>0.66999999999999993</v>
      </c>
      <c r="D58" s="283">
        <v>0.68500000000000005</v>
      </c>
      <c r="E58" s="278">
        <f>G58/B58</f>
        <v>4281.2500000000036</v>
      </c>
      <c r="F58" s="270">
        <f>E58/D58</f>
        <v>6250.0000000000045</v>
      </c>
      <c r="G58" s="270">
        <f t="shared" ref="G58" si="49">+H58+I58+J58</f>
        <v>1926.5625000000016</v>
      </c>
      <c r="H58" s="269">
        <f t="shared" ref="H58" si="50">(U58*((100%-Q58)*$H$2))/12</f>
        <v>329.3336266931147</v>
      </c>
      <c r="I58">
        <v>275</v>
      </c>
      <c r="J58" s="270">
        <f>(L58*(1+MRate/12)*(1/(1+MRate/12)-1))/((1/(1+MRate/12))^(MortTerm*12)-1)</f>
        <v>1322.228873306887</v>
      </c>
      <c r="K58" s="271">
        <f>L58/U58</f>
        <v>0.47601225619337267</v>
      </c>
      <c r="L58" s="262">
        <f>P58-S58</f>
        <v>268743.15888434649</v>
      </c>
      <c r="M58" s="262">
        <f>U58-P58</f>
        <v>225828.77258956432</v>
      </c>
      <c r="N58" s="279">
        <f>L58/T58</f>
        <v>3.5832421184579504</v>
      </c>
      <c r="P58" s="262">
        <f>Q58*U58</f>
        <v>338743.15888434649</v>
      </c>
      <c r="Q58" s="264">
        <v>0.6</v>
      </c>
      <c r="S58" s="263">
        <v>70000</v>
      </c>
      <c r="T58" s="262">
        <f>F58*12</f>
        <v>75000.000000000058</v>
      </c>
      <c r="U58" s="263">
        <v>564571.93147391081</v>
      </c>
    </row>
    <row r="60" spans="2:21" x14ac:dyDescent="0.2">
      <c r="B60" s="264">
        <v>0.45</v>
      </c>
      <c r="C60" s="283">
        <f>VLOOKUP(T60,ETRTable,2,1)</f>
        <v>0.66500000000000004</v>
      </c>
      <c r="D60" s="283">
        <v>0.66500000000000004</v>
      </c>
      <c r="E60" s="278">
        <f>G60/B60</f>
        <v>4433.3333333333348</v>
      </c>
      <c r="F60" s="270">
        <f>E60/D60</f>
        <v>6666.6666666666688</v>
      </c>
      <c r="G60" s="270">
        <f t="shared" ref="G60" si="51">+H60+I60+J60</f>
        <v>1995.0000000000007</v>
      </c>
      <c r="H60" s="269">
        <f t="shared" ref="H60" si="52">(U60*((100%-Q60)*$H$2))/12</f>
        <v>340.62578935536925</v>
      </c>
      <c r="I60">
        <v>275</v>
      </c>
      <c r="J60" s="270">
        <f>(L60*(1+MRate/12)*(1/(1+MRate/12)-1))/((1/(1+MRate/12))^(MortTerm*12)-1)</f>
        <v>1379.3742106446314</v>
      </c>
      <c r="K60" s="271">
        <f>L60/U60</f>
        <v>0.48012260195973416</v>
      </c>
      <c r="L60" s="262">
        <f>P60-S60</f>
        <v>280357.95476552262</v>
      </c>
      <c r="M60" s="262">
        <f>U60-P60</f>
        <v>233571.96984368179</v>
      </c>
      <c r="N60" s="279">
        <f>L60/T60</f>
        <v>3.5044744345690315</v>
      </c>
      <c r="P60" s="262">
        <f>Q60*U60</f>
        <v>350357.95476552262</v>
      </c>
      <c r="Q60" s="264">
        <v>0.6</v>
      </c>
      <c r="S60" s="263">
        <v>70000</v>
      </c>
      <c r="T60" s="262">
        <f>F60*12</f>
        <v>80000.000000000029</v>
      </c>
      <c r="U60" s="263">
        <v>583929.9246092044</v>
      </c>
    </row>
    <row r="62" spans="2:21" x14ac:dyDescent="0.2">
      <c r="B62" s="264">
        <v>0.45</v>
      </c>
      <c r="C62" s="283">
        <f>VLOOKUP(T62,ETRTable,2,1)</f>
        <v>0.66500000000000004</v>
      </c>
      <c r="D62" s="283">
        <v>0.66500000000000004</v>
      </c>
      <c r="E62" s="278">
        <f>G62/B62</f>
        <v>4710.4166666666652</v>
      </c>
      <c r="F62" s="270">
        <f>E62/D62</f>
        <v>7083.3333333333303</v>
      </c>
      <c r="G62" s="270">
        <f t="shared" ref="G62" si="53">+H62+I62+J62</f>
        <v>2119.6874999999995</v>
      </c>
      <c r="H62" s="269">
        <f t="shared" ref="H62" si="54">(U62*((100%-Q62)*$H$2))/12</f>
        <v>361.19918160303877</v>
      </c>
      <c r="I62">
        <v>275</v>
      </c>
      <c r="J62" s="270">
        <f>(L62*(1+MRate/12)*(1/(1+MRate/12)-1))/((1/(1+MRate/12))^(MortTerm*12)-1)</f>
        <v>1483.4883183969607</v>
      </c>
      <c r="K62" s="271">
        <f>L62/U62</f>
        <v>0.48695064824867307</v>
      </c>
      <c r="L62" s="262">
        <f>P62-S62</f>
        <v>301519.15822026838</v>
      </c>
      <c r="M62" s="262">
        <f>U62-P62</f>
        <v>247679.43881351227</v>
      </c>
      <c r="N62" s="279">
        <f>L62/T62</f>
        <v>3.5472842143560999</v>
      </c>
      <c r="P62" s="262">
        <f>Q62*U62</f>
        <v>371519.15822026838</v>
      </c>
      <c r="Q62" s="264">
        <v>0.6</v>
      </c>
      <c r="S62" s="263">
        <v>70000</v>
      </c>
      <c r="T62" s="262">
        <f>F62*12</f>
        <v>84999.999999999971</v>
      </c>
      <c r="U62" s="263">
        <v>619198.59703378065</v>
      </c>
    </row>
    <row r="64" spans="2:21" x14ac:dyDescent="0.2">
      <c r="B64" s="264">
        <v>0.45</v>
      </c>
      <c r="C64" s="283">
        <f>VLOOKUP(T64,ETRTable,2,1)</f>
        <v>0.66500000000000004</v>
      </c>
      <c r="D64" s="283">
        <v>0.66500000000000004</v>
      </c>
      <c r="E64" s="278">
        <f>G64/B64</f>
        <v>4987.5000000000009</v>
      </c>
      <c r="F64" s="270">
        <f>E64/D64</f>
        <v>7500.0000000000009</v>
      </c>
      <c r="G64" s="270">
        <f t="shared" ref="G64" si="55">+H64+I64+J64</f>
        <v>2244.3750000000005</v>
      </c>
      <c r="H64" s="269">
        <f t="shared" ref="H64" si="56">(U64*((100%-Q64)*$H$2))/12</f>
        <v>381.77257385070851</v>
      </c>
      <c r="I64">
        <v>275</v>
      </c>
      <c r="J64" s="270">
        <f>(L64*(1+MRate/12)*(1/(1+MRate/12)-1))/((1/(1+MRate/12))^(MortTerm*12)-1)</f>
        <v>1587.6024261492919</v>
      </c>
      <c r="K64" s="271">
        <f>L64/U64</f>
        <v>0.49304277957561943</v>
      </c>
      <c r="L64" s="262">
        <f>P64-S64</f>
        <v>322680.36167501443</v>
      </c>
      <c r="M64" s="262">
        <f>U64-P64</f>
        <v>261786.90778334293</v>
      </c>
      <c r="N64" s="279">
        <f>L64/T64</f>
        <v>3.5853373519446041</v>
      </c>
      <c r="P64" s="262">
        <f>Q64*U64</f>
        <v>392680.36167501443</v>
      </c>
      <c r="Q64" s="264">
        <v>0.6</v>
      </c>
      <c r="S64" s="263">
        <v>70000</v>
      </c>
      <c r="T64" s="262">
        <f>F64*12</f>
        <v>90000.000000000015</v>
      </c>
      <c r="U64" s="263">
        <v>654467.26945835736</v>
      </c>
    </row>
  </sheetData>
  <mergeCells count="1">
    <mergeCell ref="H3:J3"/>
  </mergeCells>
  <pageMargins left="0.25" right="0.25" top="0.75" bottom="0.75" header="0.3" footer="0.3"/>
  <pageSetup paperSize="9" scale="47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C15"/>
  <sheetViews>
    <sheetView workbookViewId="0">
      <selection activeCell="B16" sqref="B16"/>
    </sheetView>
  </sheetViews>
  <sheetFormatPr defaultRowHeight="12.75" x14ac:dyDescent="0.2"/>
  <sheetData>
    <row r="5" spans="2:3" x14ac:dyDescent="0.2">
      <c r="B5" s="259" t="s">
        <v>98</v>
      </c>
      <c r="C5">
        <v>45000</v>
      </c>
    </row>
    <row r="6" spans="2:3" x14ac:dyDescent="0.2">
      <c r="B6" s="259" t="s">
        <v>99</v>
      </c>
      <c r="C6">
        <v>2764.22</v>
      </c>
    </row>
    <row r="8" spans="2:3" x14ac:dyDescent="0.2">
      <c r="B8" s="259" t="s">
        <v>64</v>
      </c>
      <c r="C8">
        <v>250000</v>
      </c>
    </row>
    <row r="9" spans="2:3" x14ac:dyDescent="0.2">
      <c r="B9" s="259" t="s">
        <v>75</v>
      </c>
      <c r="C9">
        <v>35</v>
      </c>
    </row>
    <row r="10" spans="2:3" x14ac:dyDescent="0.2">
      <c r="B10" s="259" t="s">
        <v>74</v>
      </c>
    </row>
    <row r="12" spans="2:3" x14ac:dyDescent="0.2">
      <c r="B12" s="259" t="s">
        <v>100</v>
      </c>
      <c r="C12">
        <v>1552</v>
      </c>
    </row>
    <row r="13" spans="2:3" x14ac:dyDescent="0.2">
      <c r="B13" s="259" t="s">
        <v>101</v>
      </c>
      <c r="C13">
        <v>2272</v>
      </c>
    </row>
    <row r="15" spans="2:3" x14ac:dyDescent="0.2">
      <c r="B15" s="259" t="s">
        <v>102</v>
      </c>
      <c r="C15">
        <v>492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London</vt:lpstr>
      <vt:lpstr>Help to Buy Gov Equity Solver</vt:lpstr>
      <vt:lpstr>Shared Ownership</vt:lpstr>
      <vt:lpstr>etr_50</vt:lpstr>
      <vt:lpstr>ETRTable</vt:lpstr>
      <vt:lpstr>MortRate</vt:lpstr>
      <vt:lpstr>MortTerm</vt:lpstr>
      <vt:lpstr>MRate</vt:lpstr>
      <vt:lpstr>MTerm</vt:lpstr>
      <vt:lpstr>'Help to Buy Gov Equity Solver'!Print_Area</vt:lpstr>
      <vt:lpstr>London!Print_Area</vt:lpstr>
    </vt:vector>
  </TitlesOfParts>
  <Company>BEST ADVICE FINANCIAL PLANNING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Helen Towner</dc:creator>
  <cp:lastModifiedBy>Richard Godfrey</cp:lastModifiedBy>
  <cp:lastPrinted>2016-09-23T23:50:42Z</cp:lastPrinted>
  <dcterms:created xsi:type="dcterms:W3CDTF">2008-04-04T09:45:40Z</dcterms:created>
  <dcterms:modified xsi:type="dcterms:W3CDTF">2016-09-23T23:50:53Z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1e03c071-7cd0-441b-9dd9-7de3b6071d2c</vt:lpwstr>
  </property>
  <property fmtid="{D5CDD505-2E9C-101B-9397-08002B2CF9AE}" pid="3" name="HCAGPMS">
    <vt:lpwstr>OFFICIAL</vt:lpwstr>
  </property>
</Properties>
</file>